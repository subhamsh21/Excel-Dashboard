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eac357456bf4167f/Documents/"/>
    </mc:Choice>
  </mc:AlternateContent>
  <xr:revisionPtr revIDLastSave="2197" documentId="8_{A19100FF-F27C-491B-8EDE-0CD1787323D4}" xr6:coauthVersionLast="47" xr6:coauthVersionMax="47" xr10:uidLastSave="{7B0F531C-6826-44D4-9D39-9CA324DEDCE8}"/>
  <bookViews>
    <workbookView xWindow="2064" yWindow="2688" windowWidth="17280" windowHeight="8880" xr2:uid="{A8E9DE8D-688C-45DE-BB89-38FF677D9CA8}"/>
  </bookViews>
  <sheets>
    <sheet name="pivot report" sheetId="1" r:id="rId1"/>
    <sheet name="dashboard" sheetId="2" r:id="rId2"/>
    <sheet name="Sheet3" sheetId="6" r:id="rId3"/>
    <sheet name="Sheet2" sheetId="5" r:id="rId4"/>
    <sheet name="Sheet1"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1fdc7a98-669c-4f59-b3a2-61b0bbd7881f" name="Hospital Emergency Room Data  1" connection="Query - Hospital Emergency Room Data (1)"/>
          <x15:modelTable id="Calendar_table_aabb2a90-f0b6-4f9a-b2af-d89faff39d65" name="Calendar_table" connection="Query - Calendar_table"/>
        </x15:modelTables>
        <x15:modelRelationships>
          <x15:modelRelationship fromTable="Hospital Emergency Room Data  1"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5" i="1" l="1"/>
  <c r="C44" i="1"/>
  <c r="B45" i="1"/>
  <c r="B44" i="1"/>
  <c r="A45" i="1"/>
  <c r="A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0992E8-F653-4844-9615-FFEC19F8AD29}" name="Query - Calendar_table" description="Connection to the 'Calendar_table' query in the workbook." type="100" refreshedVersion="8" minRefreshableVersion="5">
    <extLst>
      <ext xmlns:x15="http://schemas.microsoft.com/office/spreadsheetml/2010/11/main" uri="{DE250136-89BD-433C-8126-D09CA5730AF9}">
        <x15:connection id="95b2acaf-a5f8-4ac9-8888-a97a095ecd55"/>
      </ext>
    </extLst>
  </connection>
  <connection id="2" xr16:uid="{C560A73F-BF1E-47C9-9638-42EF213B13DB}"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6db4ddfa-7328-4202-b807-19a3584f92c8"/>
      </ext>
    </extLst>
  </connection>
  <connection id="3" xr16:uid="{BA019A34-7B41-47AF-BA4B-E7B5794235E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<sst xmlns="http://schemas.openxmlformats.org/spreadsheetml/2006/main" count="165" uniqueCount="84">
  <si>
    <t>Distinct Count of Patient Id</t>
  </si>
  <si>
    <t>No.of Patients</t>
  </si>
  <si>
    <t>Average of Patient Waittime</t>
  </si>
  <si>
    <t>Average of Patient Satisfaction Score</t>
  </si>
  <si>
    <t>+</t>
  </si>
  <si>
    <t>Grand Total</t>
  </si>
  <si>
    <t>Row Labels</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</si>
  <si>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</si>
  <si>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</si>
  <si>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</si>
  <si>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</si>
  <si>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</si>
  <si>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</si>
  <si>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</si>
  <si>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</si>
  <si>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</si>
  <si>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</si>
  <si>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</si>
  <si>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</si>
  <si>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</si>
  <si>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</si>
  <si>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</si>
  <si>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</si>
  <si>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</si>
  <si>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</si>
  <si>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</si>
  <si>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</si>
  <si>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</si>
  <si>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</si>
  <si>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</si>
  <si>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</si>
  <si>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</si>
  <si>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</si>
  <si>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</si>
  <si>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</si>
  <si>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</si>
  <si>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</si>
  <si>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</si>
  <si>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It shows a daily trend with an  area sparkline to spot patterns like busy days.</t>
  </si>
  <si>
    <t xml:space="preserve">DAILY TRENDS OF NO OF PATIENTS </t>
  </si>
  <si>
    <t xml:space="preserve">AVERAGE WAIT TIME </t>
  </si>
  <si>
    <t>THIS TELLS US ABOUT AVERAGE WAITING TIME OF PATIENTS</t>
  </si>
  <si>
    <t>SATISFACTION SCORE</t>
  </si>
  <si>
    <t>IT TELLS US ABOUT THE AVERAGE SATISFACTION SCORE OF PATIENTS TO HOSPITAL</t>
  </si>
  <si>
    <t>Admitted</t>
  </si>
  <si>
    <t>Not Admitted</t>
  </si>
  <si>
    <t>Count of Patient Admission Flag</t>
  </si>
  <si>
    <t>Count of Patient Admission Flag2</t>
  </si>
  <si>
    <t>Admission status</t>
  </si>
  <si>
    <t>%Status</t>
  </si>
  <si>
    <t>Chart format</t>
  </si>
  <si>
    <t>Patients</t>
  </si>
  <si>
    <t>0-09</t>
  </si>
  <si>
    <t>10-19</t>
  </si>
  <si>
    <t>20-29</t>
  </si>
  <si>
    <t>30-39</t>
  </si>
  <si>
    <t>40-49</t>
  </si>
  <si>
    <t>50-59</t>
  </si>
  <si>
    <t>60-69</t>
  </si>
  <si>
    <t>70-79</t>
  </si>
  <si>
    <t>Count of Age Group</t>
  </si>
  <si>
    <t>age group wise analysis</t>
  </si>
  <si>
    <t>Delay</t>
  </si>
  <si>
    <t>OnTime</t>
  </si>
  <si>
    <t>Count of Patient Attend Status</t>
  </si>
  <si>
    <t>Female</t>
  </si>
  <si>
    <t>Male</t>
  </si>
  <si>
    <t>Count of Patient Gender</t>
  </si>
  <si>
    <t>Attending status</t>
  </si>
  <si>
    <t>Gender wise report</t>
  </si>
  <si>
    <t>Referaals</t>
  </si>
  <si>
    <t>Cardiology</t>
  </si>
  <si>
    <t>Gastroenterology</t>
  </si>
  <si>
    <t>General Practice</t>
  </si>
  <si>
    <t>Neurology</t>
  </si>
  <si>
    <t>None</t>
  </si>
  <si>
    <t>Orthopedics</t>
  </si>
  <si>
    <t>Physiotherapy</t>
  </si>
  <si>
    <t>Renal</t>
  </si>
  <si>
    <t>Count of Department Referral</t>
  </si>
  <si>
    <t>years wise</t>
  </si>
  <si>
    <t>2023</t>
  </si>
  <si>
    <t>Qtr3</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</si>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</sst>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4"/>
      <color theme="1"/>
      <name val="Aptos Narrow"/>
      <family val="2"/>
      <scheme val="minor"/>
    </font>
    <font>
      <sz val="12"/>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3" borderId="0" xfId="0" applyFont="1" applyFill="1"/>
    <xf numFmtId="2" fontId="0" fillId="0" borderId="0" xfId="0" applyNumberFormat="1" applyAlignment="1">
      <alignment horizontal="left"/>
    </xf>
    <xf numFmtId="0" fontId="2" fillId="3" borderId="0" xfId="0" applyFont="1" applyFill="1"/>
    <xf numFmtId="1" fontId="0" fillId="0" borderId="0" xfId="0" applyNumberFormat="1"/>
    <xf numFmtId="10" fontId="0" fillId="0" borderId="0" xfId="0" applyNumberFormat="1"/>
    <xf numFmtId="9" fontId="0" fillId="0" borderId="0" xfId="0" applyNumberFormat="1"/>
    <xf numFmtId="0" fontId="0" fillId="4" borderId="0" xfId="0" applyFill="1" applyAlignment="1">
      <alignment horizontal="left"/>
    </xf>
    <xf numFmtId="0" fontId="0" fillId="4" borderId="0" xfId="0" applyFill="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21">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3" formatCode="0%"/>
    </dxf>
    <dxf>
      <numFmt numFmtId="14" formatCode="0.00%"/>
    </dxf>
    <dxf>
      <numFmt numFmtId="1" formatCode="0"/>
    </dxf>
    <dxf>
      <numFmt numFmtId="2" formatCode="0.00"/>
    </dxf>
    <dxf>
      <font>
        <b/>
        <color theme="1"/>
      </font>
      <border>
        <bottom style="thin">
          <color theme="4"/>
        </bottom>
        <vertical/>
        <horizontal/>
      </border>
    </dxf>
    <dxf>
      <font>
        <sz val="10"/>
        <color theme="1"/>
      </font>
      <fill>
        <patternFill>
          <bgColor theme="7" tint="0.79998168889431442"/>
        </patternFill>
      </fill>
      <border diagonalUp="0" diagonalDown="0">
        <left/>
        <right/>
        <top/>
        <bottom/>
        <vertical/>
        <horizontal/>
      </border>
    </dxf>
  </dxfs>
  <tableStyles count="2" defaultTableStyle="TableStyleMedium2" defaultPivotStyle="PivotStyleLight16">
    <tableStyle name="Invisible" pivot="0" table="0" count="0" xr9:uid="{A6692676-90C3-455A-B324-8A09EE637BEE}"/>
    <tableStyle name="my style" pivot="0" table="0" count="10" xr9:uid="{E2BAE35C-C74D-4D09-9852-D8FF24B7FC8C}">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15590772672411E-3"/>
          <c:y val="6.5103275134086539E-3"/>
          <c:w val="0.99373844092273278"/>
          <c:h val="0.99348967248659115"/>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cat>
            <c:strRef>
              <c:f>'pivot report'!$A$39:$A$41</c:f>
              <c:strCache>
                <c:ptCount val="2"/>
                <c:pt idx="0">
                  <c:v>Admitted</c:v>
                </c:pt>
                <c:pt idx="1">
                  <c:v>Not Admitted</c:v>
                </c:pt>
              </c:strCache>
            </c:strRef>
          </c:cat>
          <c:val>
            <c:numRef>
              <c:f>'pivot report'!$B$39:$B$41</c:f>
              <c:numCache>
                <c:formatCode>0</c:formatCode>
                <c:ptCount val="2"/>
                <c:pt idx="0">
                  <c:v>234</c:v>
                </c:pt>
                <c:pt idx="1">
                  <c:v>260</c:v>
                </c:pt>
              </c:numCache>
            </c:numRef>
          </c:val>
          <c:extLst>
            <c:ext xmlns:c16="http://schemas.microsoft.com/office/drawing/2014/chart" uri="{C3380CC4-5D6E-409C-BE32-E72D297353CC}">
              <c16:uniqueId val="{00000000-D046-4945-A2B2-DC48B53CB8BF}"/>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c:formatCode>
                <c:ptCount val="2"/>
                <c:pt idx="0">
                  <c:v>0.47368421052631576</c:v>
                </c:pt>
                <c:pt idx="1">
                  <c:v>0.52631578947368418</c:v>
                </c:pt>
              </c:numCache>
            </c:numRef>
          </c:val>
          <c:extLst>
            <c:ext xmlns:c16="http://schemas.microsoft.com/office/drawing/2014/chart" uri="{C3380CC4-5D6E-409C-BE32-E72D297353CC}">
              <c16:uniqueId val="{00000001-D046-4945-A2B2-DC48B53CB8BF}"/>
            </c:ext>
          </c:extLst>
        </c:ser>
        <c:dLbls>
          <c:showLegendKey val="0"/>
          <c:showVal val="0"/>
          <c:showCatName val="0"/>
          <c:showSerName val="0"/>
          <c:showPercent val="0"/>
          <c:showBubbleSize val="0"/>
        </c:dLbls>
        <c:gapWidth val="182"/>
        <c:axId val="1330362143"/>
        <c:axId val="1330368863"/>
      </c:barChart>
      <c:catAx>
        <c:axId val="1330362143"/>
        <c:scaling>
          <c:orientation val="minMax"/>
        </c:scaling>
        <c:delete val="1"/>
        <c:axPos val="l"/>
        <c:numFmt formatCode="General" sourceLinked="1"/>
        <c:majorTickMark val="none"/>
        <c:minorTickMark val="none"/>
        <c:tickLblPos val="nextTo"/>
        <c:crossAx val="1330368863"/>
        <c:crosses val="autoZero"/>
        <c:auto val="1"/>
        <c:lblAlgn val="ctr"/>
        <c:lblOffset val="100"/>
        <c:noMultiLvlLbl val="0"/>
      </c:catAx>
      <c:valAx>
        <c:axId val="1330368863"/>
        <c:scaling>
          <c:orientation val="minMax"/>
        </c:scaling>
        <c:delete val="1"/>
        <c:axPos val="b"/>
        <c:numFmt formatCode="0" sourceLinked="1"/>
        <c:majorTickMark val="none"/>
        <c:minorTickMark val="none"/>
        <c:tickLblPos val="nextTo"/>
        <c:crossAx val="133036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report!PivotTable3</c:name>
    <c:fmtId val="2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0582728883027546E-3"/>
          <c:y val="4.9900199600798403E-3"/>
          <c:w val="0.99894172711169726"/>
          <c:h val="0.99096099140302074"/>
        </c:manualLayout>
      </c:layout>
      <c:areaChart>
        <c:grouping val="standard"/>
        <c:varyColors val="0"/>
        <c:ser>
          <c:idx val="0"/>
          <c:order val="0"/>
          <c:tx>
            <c:strRef>
              <c:f>'pivot report'!$F$4</c:f>
              <c:strCache>
                <c:ptCount val="1"/>
                <c:pt idx="0">
                  <c:v>Total</c:v>
                </c:pt>
              </c:strCache>
            </c:strRef>
          </c:tx>
          <c:spPr>
            <a:solidFill>
              <a:schemeClr val="accent1"/>
            </a:solidFill>
            <a:ln>
              <a:noFill/>
            </a:ln>
            <a:effectLst/>
          </c:spPr>
          <c:cat>
            <c:strRef>
              <c:f>'pivot report'!$E$5:$E$36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report'!$F$5:$F$36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2-5D00-4EAF-93B6-8CB0070F9E2F}"/>
            </c:ext>
          </c:extLst>
        </c:ser>
        <c:dLbls>
          <c:showLegendKey val="0"/>
          <c:showVal val="0"/>
          <c:showCatName val="0"/>
          <c:showSerName val="0"/>
          <c:showPercent val="0"/>
          <c:showBubbleSize val="0"/>
        </c:dLbls>
        <c:axId val="1675248239"/>
        <c:axId val="1675248719"/>
      </c:areaChart>
      <c:catAx>
        <c:axId val="1675248239"/>
        <c:scaling>
          <c:orientation val="minMax"/>
        </c:scaling>
        <c:delete val="1"/>
        <c:axPos val="b"/>
        <c:numFmt formatCode="General" sourceLinked="1"/>
        <c:majorTickMark val="out"/>
        <c:minorTickMark val="none"/>
        <c:tickLblPos val="nextTo"/>
        <c:crossAx val="1675248719"/>
        <c:crosses val="autoZero"/>
        <c:auto val="1"/>
        <c:lblAlgn val="ctr"/>
        <c:lblOffset val="100"/>
        <c:noMultiLvlLbl val="0"/>
      </c:catAx>
      <c:valAx>
        <c:axId val="1675248719"/>
        <c:scaling>
          <c:orientation val="minMax"/>
        </c:scaling>
        <c:delete val="1"/>
        <c:axPos val="l"/>
        <c:numFmt formatCode="General" sourceLinked="1"/>
        <c:majorTickMark val="none"/>
        <c:minorTickMark val="none"/>
        <c:tickLblPos val="nextTo"/>
        <c:crossAx val="1675248239"/>
        <c:crosses val="autoZero"/>
        <c:crossBetween val="midCat"/>
      </c:valAx>
      <c:spPr>
        <a:solidFill>
          <a:schemeClr val="accent1">
            <a:lumMod val="60000"/>
            <a:lumOff val="40000"/>
          </a:schemeClr>
        </a:solidFill>
        <a:ln w="25400">
          <a:noFill/>
        </a:ln>
      </c:spPr>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26578560939795"/>
          <c:h val="1"/>
        </c:manualLayout>
      </c:layout>
      <c:areaChart>
        <c:grouping val="standard"/>
        <c:varyColors val="0"/>
        <c:ser>
          <c:idx val="0"/>
          <c:order val="0"/>
          <c:tx>
            <c:strRef>
              <c:f>'pivot report'!$L$5</c:f>
              <c:strCache>
                <c:ptCount val="1"/>
                <c:pt idx="0">
                  <c:v>Total</c:v>
                </c:pt>
              </c:strCache>
            </c:strRef>
          </c:tx>
          <c:spPr>
            <a:solidFill>
              <a:schemeClr val="accent1"/>
            </a:solidFill>
            <a:ln>
              <a:noFill/>
            </a:ln>
            <a:effectLst/>
          </c:spPr>
          <c:cat>
            <c:strRef>
              <c:f>'pivot report'!$K$6:$K$37</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report'!$L$6:$L$37</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0-7423-41D2-8F4C-91B72AA2786C}"/>
            </c:ext>
          </c:extLst>
        </c:ser>
        <c:dLbls>
          <c:showLegendKey val="0"/>
          <c:showVal val="0"/>
          <c:showCatName val="0"/>
          <c:showSerName val="0"/>
          <c:showPercent val="0"/>
          <c:showBubbleSize val="0"/>
        </c:dLbls>
        <c:axId val="973054383"/>
        <c:axId val="973051983"/>
      </c:areaChart>
      <c:catAx>
        <c:axId val="973054383"/>
        <c:scaling>
          <c:orientation val="minMax"/>
        </c:scaling>
        <c:delete val="1"/>
        <c:axPos val="b"/>
        <c:numFmt formatCode="General" sourceLinked="1"/>
        <c:majorTickMark val="out"/>
        <c:minorTickMark val="none"/>
        <c:tickLblPos val="nextTo"/>
        <c:crossAx val="973051983"/>
        <c:crosses val="autoZero"/>
        <c:auto val="1"/>
        <c:lblAlgn val="ctr"/>
        <c:lblOffset val="100"/>
        <c:noMultiLvlLbl val="0"/>
      </c:catAx>
      <c:valAx>
        <c:axId val="973051983"/>
        <c:scaling>
          <c:orientation val="minMax"/>
        </c:scaling>
        <c:delete val="1"/>
        <c:axPos val="l"/>
        <c:numFmt formatCode="0.00" sourceLinked="1"/>
        <c:majorTickMark val="none"/>
        <c:minorTickMark val="none"/>
        <c:tickLblPos val="nextTo"/>
        <c:crossAx val="973054383"/>
        <c:crosses val="autoZero"/>
        <c:crossBetween val="midCat"/>
      </c:valAx>
      <c:spPr>
        <a:solidFill>
          <a:schemeClr val="accent1">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25012151258871E-3"/>
          <c:y val="2.4328689683020391E-4"/>
          <c:w val="0.99778761061946908"/>
          <c:h val="0.99975628046494192"/>
        </c:manualLayout>
      </c:layout>
      <c:areaChart>
        <c:grouping val="standard"/>
        <c:varyColors val="0"/>
        <c:ser>
          <c:idx val="0"/>
          <c:order val="0"/>
          <c:tx>
            <c:strRef>
              <c:f>'pivot report'!$R$5</c:f>
              <c:strCache>
                <c:ptCount val="1"/>
                <c:pt idx="0">
                  <c:v>Total</c:v>
                </c:pt>
              </c:strCache>
            </c:strRef>
          </c:tx>
          <c:spPr>
            <a:solidFill>
              <a:schemeClr val="accent1"/>
            </a:solidFill>
            <a:ln>
              <a:noFill/>
            </a:ln>
            <a:effectLst/>
          </c:spPr>
          <c:cat>
            <c:strRef>
              <c:f>'pivot report'!$Q$6:$Q$37</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report'!$R$6:$R$37</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8624-4E3B-83C4-68AC5C978198}"/>
            </c:ext>
          </c:extLst>
        </c:ser>
        <c:dLbls>
          <c:showLegendKey val="0"/>
          <c:showVal val="0"/>
          <c:showCatName val="0"/>
          <c:showSerName val="0"/>
          <c:showPercent val="0"/>
          <c:showBubbleSize val="0"/>
        </c:dLbls>
        <c:axId val="1068427247"/>
        <c:axId val="1068420527"/>
      </c:areaChart>
      <c:catAx>
        <c:axId val="1068427247"/>
        <c:scaling>
          <c:orientation val="minMax"/>
        </c:scaling>
        <c:delete val="1"/>
        <c:axPos val="b"/>
        <c:numFmt formatCode="General" sourceLinked="1"/>
        <c:majorTickMark val="out"/>
        <c:minorTickMark val="none"/>
        <c:tickLblPos val="nextTo"/>
        <c:crossAx val="1068420527"/>
        <c:crosses val="autoZero"/>
        <c:auto val="1"/>
        <c:lblAlgn val="ctr"/>
        <c:lblOffset val="100"/>
        <c:noMultiLvlLbl val="0"/>
      </c:catAx>
      <c:valAx>
        <c:axId val="1068420527"/>
        <c:scaling>
          <c:orientation val="minMax"/>
        </c:scaling>
        <c:delete val="1"/>
        <c:axPos val="l"/>
        <c:numFmt formatCode="0.00" sourceLinked="1"/>
        <c:majorTickMark val="none"/>
        <c:minorTickMark val="none"/>
        <c:tickLblPos val="nextTo"/>
        <c:crossAx val="1068427247"/>
        <c:crosses val="autoZero"/>
        <c:crossBetween val="midCat"/>
      </c:valAx>
      <c:spPr>
        <a:solidFill>
          <a:schemeClr val="accent1">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4.6296296296296294E-2"/>
          <c:w val="0.93888888888888888"/>
          <c:h val="0.84204505686789155"/>
        </c:manualLayout>
      </c:layout>
      <c:barChart>
        <c:barDir val="col"/>
        <c:grouping val="clustered"/>
        <c:varyColors val="0"/>
        <c:ser>
          <c:idx val="0"/>
          <c:order val="0"/>
          <c:tx>
            <c:strRef>
              <c:f>'pivot report'!$I$39</c:f>
              <c:strCache>
                <c:ptCount val="1"/>
                <c:pt idx="0">
                  <c:v>Total</c:v>
                </c:pt>
              </c:strCache>
            </c:strRef>
          </c:tx>
          <c:spPr>
            <a:solidFill>
              <a:schemeClr val="bg2">
                <a:lumMod val="50000"/>
              </a:schemeClr>
            </a:solidFill>
            <a:ln>
              <a:noFill/>
            </a:ln>
            <a:effectLst/>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report'!$H$40:$H$48</c:f>
              <c:strCache>
                <c:ptCount val="8"/>
                <c:pt idx="0">
                  <c:v>0-09</c:v>
                </c:pt>
                <c:pt idx="1">
                  <c:v>10-19</c:v>
                </c:pt>
                <c:pt idx="2">
                  <c:v>20-29</c:v>
                </c:pt>
                <c:pt idx="3">
                  <c:v>30-39</c:v>
                </c:pt>
                <c:pt idx="4">
                  <c:v>40-49</c:v>
                </c:pt>
                <c:pt idx="5">
                  <c:v>50-59</c:v>
                </c:pt>
                <c:pt idx="6">
                  <c:v>60-69</c:v>
                </c:pt>
                <c:pt idx="7">
                  <c:v>70-79</c:v>
                </c:pt>
              </c:strCache>
            </c:strRef>
          </c:cat>
          <c:val>
            <c:numRef>
              <c:f>'pivot report'!$I$40:$I$48</c:f>
              <c:numCache>
                <c:formatCode>0</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0-6AD7-45E4-83F6-B4495615FB59}"/>
            </c:ext>
          </c:extLst>
        </c:ser>
        <c:dLbls>
          <c:showLegendKey val="0"/>
          <c:showVal val="0"/>
          <c:showCatName val="0"/>
          <c:showSerName val="0"/>
          <c:showPercent val="0"/>
          <c:showBubbleSize val="0"/>
        </c:dLbls>
        <c:gapWidth val="219"/>
        <c:overlap val="-27"/>
        <c:axId val="1330356383"/>
        <c:axId val="1330365023"/>
      </c:barChart>
      <c:catAx>
        <c:axId val="1330356383"/>
        <c:scaling>
          <c:orientation val="minMax"/>
        </c:scaling>
        <c:delete val="0"/>
        <c:axPos val="b"/>
        <c:numFmt formatCode="General" sourceLinked="1"/>
        <c:majorTickMark val="none"/>
        <c:minorTickMark val="none"/>
        <c:tickLblPos val="nextTo"/>
        <c:spPr>
          <a:solidFill>
            <a:schemeClr val="tx2">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65023"/>
        <c:crosses val="autoZero"/>
        <c:auto val="1"/>
        <c:lblAlgn val="ctr"/>
        <c:lblOffset val="100"/>
        <c:noMultiLvlLbl val="0"/>
      </c:catAx>
      <c:valAx>
        <c:axId val="1330365023"/>
        <c:scaling>
          <c:orientation val="minMax"/>
        </c:scaling>
        <c:delete val="1"/>
        <c:axPos val="l"/>
        <c:numFmt formatCode="0" sourceLinked="1"/>
        <c:majorTickMark val="none"/>
        <c:minorTickMark val="none"/>
        <c:tickLblPos val="nextTo"/>
        <c:crossAx val="1330356383"/>
        <c:crosses val="autoZero"/>
        <c:crossBetween val="between"/>
      </c:valAx>
      <c:spPr>
        <a:solidFill>
          <a:schemeClr val="accent5">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114255249343831"/>
              <c:y val="-0.226673111590588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8958333333333329E-2"/>
          <c:y val="0.1382697714387125"/>
          <c:w val="0.75508038057742777"/>
          <c:h val="0.85987801346895687"/>
        </c:manualLayout>
      </c:layout>
      <c:pieChart>
        <c:varyColors val="1"/>
        <c:ser>
          <c:idx val="0"/>
          <c:order val="0"/>
          <c:tx>
            <c:strRef>
              <c:f>'pivot report'!$M$42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A76-43EB-A801-06591DADD8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A76-43EB-A801-06591DADD8E6}"/>
              </c:ext>
            </c:extLst>
          </c:dPt>
          <c:dLbls>
            <c:dLbl>
              <c:idx val="0"/>
              <c:layout>
                <c:manualLayout>
                  <c:x val="0.10114255249343831"/>
                  <c:y val="-0.226673111590588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A76-43EB-A801-06591DADD8E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report'!$L$43:$L$45</c:f>
              <c:strCache>
                <c:ptCount val="2"/>
                <c:pt idx="0">
                  <c:v>Delay</c:v>
                </c:pt>
                <c:pt idx="1">
                  <c:v>OnTime</c:v>
                </c:pt>
              </c:strCache>
            </c:strRef>
          </c:cat>
          <c:val>
            <c:numRef>
              <c:f>'pivot report'!$M$43:$M$45</c:f>
              <c:numCache>
                <c:formatCode>0</c:formatCode>
                <c:ptCount val="2"/>
                <c:pt idx="0">
                  <c:v>307</c:v>
                </c:pt>
                <c:pt idx="1">
                  <c:v>187</c:v>
                </c:pt>
              </c:numCache>
            </c:numRef>
          </c:val>
          <c:extLst>
            <c:ext xmlns:c16="http://schemas.microsoft.com/office/drawing/2014/chart" uri="{C3380CC4-5D6E-409C-BE32-E72D297353CC}">
              <c16:uniqueId val="{00000004-EA76-43EB-A801-06591DADD8E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6970554461942256E-2"/>
          <c:y val="8.4512567601647652E-3"/>
          <c:w val="0.94698777887139129"/>
          <c:h val="0.14679855409532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833771739134905"/>
          <c:y val="0.13342164149307056"/>
          <c:w val="0.63404502465287105"/>
          <c:h val="0.86081636277230289"/>
        </c:manualLayout>
      </c:layout>
      <c:doughnutChart>
        <c:varyColors val="1"/>
        <c:ser>
          <c:idx val="0"/>
          <c:order val="0"/>
          <c:tx>
            <c:strRef>
              <c:f>'pivot report'!$M$48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5A2-43EB-8500-49A190A4B66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5A2-43EB-8500-49A190A4B6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report'!$L$49:$L$51</c:f>
              <c:strCache>
                <c:ptCount val="2"/>
                <c:pt idx="0">
                  <c:v>Female</c:v>
                </c:pt>
                <c:pt idx="1">
                  <c:v>Male</c:v>
                </c:pt>
              </c:strCache>
            </c:strRef>
          </c:cat>
          <c:val>
            <c:numRef>
              <c:f>'pivot report'!$M$49:$M$51</c:f>
              <c:numCache>
                <c:formatCode>0</c:formatCode>
                <c:ptCount val="2"/>
                <c:pt idx="0">
                  <c:v>241</c:v>
                </c:pt>
                <c:pt idx="1">
                  <c:v>253</c:v>
                </c:pt>
              </c:numCache>
            </c:numRef>
          </c:val>
          <c:extLst>
            <c:ext xmlns:c16="http://schemas.microsoft.com/office/drawing/2014/chart" uri="{C3380CC4-5D6E-409C-BE32-E72D297353CC}">
              <c16:uniqueId val="{00000004-75A2-43EB-8500-49A190A4B66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4.1023265877111185E-2"/>
          <c:y val="1.8615635570243799E-2"/>
          <c:w val="0.70823192414146841"/>
          <c:h val="0.15425708061488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report'!$I$52</c:f>
              <c:strCache>
                <c:ptCount val="1"/>
                <c:pt idx="0">
                  <c:v>Total</c:v>
                </c:pt>
              </c:strCache>
            </c:strRef>
          </c:tx>
          <c:spPr>
            <a:solidFill>
              <a:schemeClr val="accent1"/>
            </a:solidFill>
            <a:ln>
              <a:noFill/>
            </a:ln>
            <a:effectLst/>
          </c:spPr>
          <c:invertIfNegative val="0"/>
          <c:cat>
            <c:strRef>
              <c:f>'pivot report'!$H$53:$H$61</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report'!$I$53:$I$61</c:f>
              <c:numCache>
                <c:formatCode>0</c:formatCode>
                <c:ptCount val="8"/>
                <c:pt idx="0">
                  <c:v>6</c:v>
                </c:pt>
                <c:pt idx="1">
                  <c:v>8</c:v>
                </c:pt>
                <c:pt idx="2">
                  <c:v>8</c:v>
                </c:pt>
                <c:pt idx="3">
                  <c:v>11</c:v>
                </c:pt>
                <c:pt idx="4">
                  <c:v>17</c:v>
                </c:pt>
                <c:pt idx="5">
                  <c:v>49</c:v>
                </c:pt>
                <c:pt idx="6">
                  <c:v>92</c:v>
                </c:pt>
                <c:pt idx="7">
                  <c:v>303</c:v>
                </c:pt>
              </c:numCache>
            </c:numRef>
          </c:val>
          <c:extLst>
            <c:ext xmlns:c16="http://schemas.microsoft.com/office/drawing/2014/chart" uri="{C3380CC4-5D6E-409C-BE32-E72D297353CC}">
              <c16:uniqueId val="{00000000-1E0B-497A-B6A7-AC3E49F582E2}"/>
            </c:ext>
          </c:extLst>
        </c:ser>
        <c:dLbls>
          <c:showLegendKey val="0"/>
          <c:showVal val="0"/>
          <c:showCatName val="0"/>
          <c:showSerName val="0"/>
          <c:showPercent val="0"/>
          <c:showBubbleSize val="0"/>
        </c:dLbls>
        <c:gapWidth val="182"/>
        <c:axId val="1042672719"/>
        <c:axId val="1042677519"/>
      </c:barChart>
      <c:catAx>
        <c:axId val="104267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42677519"/>
        <c:crosses val="autoZero"/>
        <c:auto val="1"/>
        <c:lblAlgn val="ctr"/>
        <c:lblOffset val="100"/>
        <c:noMultiLvlLbl val="0"/>
      </c:catAx>
      <c:valAx>
        <c:axId val="1042677519"/>
        <c:scaling>
          <c:orientation val="minMax"/>
        </c:scaling>
        <c:delete val="1"/>
        <c:axPos val="b"/>
        <c:numFmt formatCode="0" sourceLinked="1"/>
        <c:majorTickMark val="none"/>
        <c:minorTickMark val="none"/>
        <c:tickLblPos val="nextTo"/>
        <c:crossAx val="1042672719"/>
        <c:crosses val="autoZero"/>
        <c:crossBetween val="between"/>
      </c:valAx>
      <c:spPr>
        <a:solidFill>
          <a:schemeClr val="tx2">
            <a:lumMod val="25000"/>
            <a:lumOff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60893023965222E-2"/>
          <c:y val="8.1290180326649447E-2"/>
          <c:w val="0.90955812726798979"/>
          <c:h val="0.77023804316127154"/>
        </c:manualLayout>
      </c:layout>
      <c:areaChart>
        <c:grouping val="standard"/>
        <c:varyColors val="0"/>
        <c:ser>
          <c:idx val="0"/>
          <c:order val="0"/>
          <c:tx>
            <c:strRef>
              <c:f>'pivot report'!$R$5</c:f>
              <c:strCache>
                <c:ptCount val="1"/>
                <c:pt idx="0">
                  <c:v>Total</c:v>
                </c:pt>
              </c:strCache>
            </c:strRef>
          </c:tx>
          <c:spPr>
            <a:solidFill>
              <a:schemeClr val="accent1"/>
            </a:solidFill>
            <a:ln>
              <a:noFill/>
            </a:ln>
            <a:effectLst/>
          </c:spPr>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report'!$Q$6:$Q$37</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report'!$R$6:$R$37</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161A-4908-B78F-F0A3F911A5BF}"/>
            </c:ext>
          </c:extLst>
        </c:ser>
        <c:dLbls>
          <c:showLegendKey val="0"/>
          <c:showVal val="0"/>
          <c:showCatName val="0"/>
          <c:showSerName val="0"/>
          <c:showPercent val="0"/>
          <c:showBubbleSize val="0"/>
        </c:dLbls>
        <c:axId val="1068427247"/>
        <c:axId val="1068420527"/>
      </c:areaChart>
      <c:catAx>
        <c:axId val="1068427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20527"/>
        <c:crosses val="autoZero"/>
        <c:auto val="1"/>
        <c:lblAlgn val="ctr"/>
        <c:lblOffset val="100"/>
        <c:noMultiLvlLbl val="0"/>
      </c:catAx>
      <c:valAx>
        <c:axId val="1068420527"/>
        <c:scaling>
          <c:orientation val="minMax"/>
        </c:scaling>
        <c:delete val="1"/>
        <c:axPos val="l"/>
        <c:numFmt formatCode="0.00" sourceLinked="1"/>
        <c:majorTickMark val="none"/>
        <c:minorTickMark val="none"/>
        <c:tickLblPos val="nextTo"/>
        <c:crossAx val="1068427247"/>
        <c:crosses val="autoZero"/>
        <c:crossBetween val="midCat"/>
      </c:valAx>
      <c:spPr>
        <a:solidFill>
          <a:schemeClr val="accent1">
            <a:lumMod val="7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163197335553705E-3"/>
              <c:y val="3.109452736318408E-2"/>
            </c:manualLayout>
          </c:layout>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407076816773143E-2"/>
          <c:y val="6.701174493476085E-2"/>
          <c:w val="0.87871710145307613"/>
          <c:h val="0.80884245359617812"/>
        </c:manualLayout>
      </c:layout>
      <c:areaChart>
        <c:grouping val="standard"/>
        <c:varyColors val="0"/>
        <c:ser>
          <c:idx val="0"/>
          <c:order val="0"/>
          <c:tx>
            <c:strRef>
              <c:f>'pivot report'!$L$5</c:f>
              <c:strCache>
                <c:ptCount val="1"/>
                <c:pt idx="0">
                  <c:v>Total</c:v>
                </c:pt>
              </c:strCache>
            </c:strRef>
          </c:tx>
          <c:spPr>
            <a:solidFill>
              <a:schemeClr val="accent1"/>
            </a:solidFill>
            <a:ln>
              <a:noFill/>
            </a:ln>
            <a:effectLst/>
          </c:spPr>
          <c:dLbls>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report'!$K$6:$K$37</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report'!$L$6:$L$37</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0-2021-4A78-B5F8-A9CE9860B1C4}"/>
            </c:ext>
          </c:extLst>
        </c:ser>
        <c:dLbls>
          <c:showLegendKey val="0"/>
          <c:showVal val="0"/>
          <c:showCatName val="0"/>
          <c:showSerName val="0"/>
          <c:showPercent val="0"/>
          <c:showBubbleSize val="0"/>
        </c:dLbls>
        <c:axId val="973054383"/>
        <c:axId val="973051983"/>
      </c:areaChart>
      <c:catAx>
        <c:axId val="97305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73051983"/>
        <c:crosses val="autoZero"/>
        <c:auto val="1"/>
        <c:lblAlgn val="ctr"/>
        <c:lblOffset val="100"/>
        <c:noMultiLvlLbl val="0"/>
      </c:catAx>
      <c:valAx>
        <c:axId val="973051983"/>
        <c:scaling>
          <c:orientation val="minMax"/>
        </c:scaling>
        <c:delete val="1"/>
        <c:axPos val="l"/>
        <c:numFmt formatCode="0.00" sourceLinked="1"/>
        <c:majorTickMark val="none"/>
        <c:minorTickMark val="none"/>
        <c:tickLblPos val="nextTo"/>
        <c:crossAx val="973054383"/>
        <c:crosses val="autoZero"/>
        <c:crossBetween val="midCat"/>
      </c:valAx>
      <c:spPr>
        <a:solidFill>
          <a:schemeClr val="accent1">
            <a:lumMod val="75000"/>
          </a:schemeClr>
        </a:solid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34514435695537E-2"/>
          <c:y val="1.8705746140256198E-2"/>
          <c:w val="0.90592979002624674"/>
          <c:h val="0.8355073366268585"/>
        </c:manualLayout>
      </c:layout>
      <c:areaChart>
        <c:grouping val="standard"/>
        <c:varyColors val="0"/>
        <c:ser>
          <c:idx val="0"/>
          <c:order val="0"/>
          <c:tx>
            <c:strRef>
              <c:f>'pivot report'!$F$4</c:f>
              <c:strCache>
                <c:ptCount val="1"/>
                <c:pt idx="0">
                  <c:v>Total</c:v>
                </c:pt>
              </c:strCache>
            </c:strRef>
          </c:tx>
          <c:spPr>
            <a:solidFill>
              <a:schemeClr val="accent1"/>
            </a:solidFill>
            <a:ln>
              <a:noFill/>
            </a:ln>
            <a:effectLst/>
          </c:spP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report'!$E$5:$E$36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report'!$F$5:$F$36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8E65-4D8C-94A3-5FA263E51B3C}"/>
            </c:ext>
          </c:extLst>
        </c:ser>
        <c:dLbls>
          <c:showLegendKey val="0"/>
          <c:showVal val="0"/>
          <c:showCatName val="0"/>
          <c:showSerName val="0"/>
          <c:showPercent val="0"/>
          <c:showBubbleSize val="0"/>
        </c:dLbls>
        <c:axId val="1675248239"/>
        <c:axId val="1675248719"/>
      </c:areaChart>
      <c:catAx>
        <c:axId val="1675248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75248719"/>
        <c:crosses val="autoZero"/>
        <c:auto val="1"/>
        <c:lblAlgn val="ctr"/>
        <c:lblOffset val="100"/>
        <c:noMultiLvlLbl val="0"/>
      </c:catAx>
      <c:valAx>
        <c:axId val="1675248719"/>
        <c:scaling>
          <c:orientation val="minMax"/>
        </c:scaling>
        <c:delete val="1"/>
        <c:axPos val="l"/>
        <c:numFmt formatCode="General" sourceLinked="1"/>
        <c:majorTickMark val="none"/>
        <c:minorTickMark val="none"/>
        <c:tickLblPos val="nextTo"/>
        <c:crossAx val="1675248239"/>
        <c:crosses val="autoZero"/>
        <c:crossBetween val="midCat"/>
      </c:valAx>
      <c:spPr>
        <a:solidFill>
          <a:schemeClr val="tx2"/>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hyperlink" Target="#Sheet3!A1"/><Relationship Id="rId7" Type="http://schemas.openxmlformats.org/officeDocument/2006/relationships/image" Target="../media/image4.sv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hyperlink" Target="#Sheet2!A1"/><Relationship Id="rId16" Type="http://schemas.openxmlformats.org/officeDocument/2006/relationships/chart" Target="../charts/chart6.xml"/><Relationship Id="rId1" Type="http://schemas.openxmlformats.org/officeDocument/2006/relationships/hyperlink" Target="#Sheet1!A1"/><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chart" Target="../charts/chart5.xml"/><Relationship Id="rId10" Type="http://schemas.openxmlformats.org/officeDocument/2006/relationships/image" Target="../media/image7.png"/><Relationship Id="rId19" Type="http://schemas.openxmlformats.org/officeDocument/2006/relationships/image" Target="../media/image9.emf"/><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7620</xdr:colOff>
      <xdr:row>43</xdr:row>
      <xdr:rowOff>7620</xdr:rowOff>
    </xdr:from>
    <xdr:to>
      <xdr:col>4</xdr:col>
      <xdr:colOff>0</xdr:colOff>
      <xdr:row>45</xdr:row>
      <xdr:rowOff>0</xdr:rowOff>
    </xdr:to>
    <xdr:graphicFrame macro="">
      <xdr:nvGraphicFramePr>
        <xdr:cNvPr id="4" name="Chart 3">
          <a:extLst>
            <a:ext uri="{FF2B5EF4-FFF2-40B4-BE49-F238E27FC236}">
              <a16:creationId xmlns:a16="http://schemas.microsoft.com/office/drawing/2014/main" id="{8D6B2EE6-F98D-3B45-E8C9-757F8ABBC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99060</xdr:colOff>
      <xdr:row>0</xdr:row>
      <xdr:rowOff>76200</xdr:rowOff>
    </xdr:from>
    <xdr:to>
      <xdr:col>8</xdr:col>
      <xdr:colOff>22860</xdr:colOff>
      <xdr:row>5</xdr:row>
      <xdr:rowOff>7620</xdr:rowOff>
    </xdr:to>
    <xdr:sp macro="" textlink="">
      <xdr:nvSpPr>
        <xdr:cNvPr id="2" name="Rectangle: Rounded Corners 1">
          <a:extLst>
            <a:ext uri="{FF2B5EF4-FFF2-40B4-BE49-F238E27FC236}">
              <a16:creationId xmlns:a16="http://schemas.microsoft.com/office/drawing/2014/main" id="{B5E90B4C-3A5C-8CE6-97F2-8BCEC1D7EE4D}"/>
            </a:ext>
          </a:extLst>
        </xdr:cNvPr>
        <xdr:cNvSpPr/>
      </xdr:nvSpPr>
      <xdr:spPr>
        <a:xfrm>
          <a:off x="99060" y="76200"/>
          <a:ext cx="4800600" cy="845820"/>
        </a:xfrm>
        <a:prstGeom prst="roundRect">
          <a:avLst>
            <a:gd name="adj" fmla="val 779"/>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83820</xdr:colOff>
      <xdr:row>0</xdr:row>
      <xdr:rowOff>76200</xdr:rowOff>
    </xdr:from>
    <xdr:to>
      <xdr:col>11</xdr:col>
      <xdr:colOff>15240</xdr:colOff>
      <xdr:row>5</xdr:row>
      <xdr:rowOff>15240</xdr:rowOff>
    </xdr:to>
    <xdr:sp macro="" textlink="">
      <xdr:nvSpPr>
        <xdr:cNvPr id="3" name="Rectangle: Rounded Corners 2">
          <a:extLst>
            <a:ext uri="{FF2B5EF4-FFF2-40B4-BE49-F238E27FC236}">
              <a16:creationId xmlns:a16="http://schemas.microsoft.com/office/drawing/2014/main" id="{478A7EA5-F8AE-6655-30A6-406ECA14970D}"/>
            </a:ext>
          </a:extLst>
        </xdr:cNvPr>
        <xdr:cNvSpPr/>
      </xdr:nvSpPr>
      <xdr:spPr>
        <a:xfrm>
          <a:off x="4960620" y="76200"/>
          <a:ext cx="1760220" cy="853440"/>
        </a:xfrm>
        <a:prstGeom prst="roundRect">
          <a:avLst>
            <a:gd name="adj" fmla="val 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83820</xdr:colOff>
      <xdr:row>0</xdr:row>
      <xdr:rowOff>76201</xdr:rowOff>
    </xdr:from>
    <xdr:to>
      <xdr:col>15</xdr:col>
      <xdr:colOff>84721</xdr:colOff>
      <xdr:row>12</xdr:row>
      <xdr:rowOff>30480</xdr:rowOff>
    </xdr:to>
    <xdr:sp macro="" textlink="">
      <xdr:nvSpPr>
        <xdr:cNvPr id="4" name="Rectangle: Rounded Corners 3">
          <a:extLst>
            <a:ext uri="{FF2B5EF4-FFF2-40B4-BE49-F238E27FC236}">
              <a16:creationId xmlns:a16="http://schemas.microsoft.com/office/drawing/2014/main" id="{4CEAD533-8599-513A-86BD-AFA349AC8B2E}"/>
            </a:ext>
          </a:extLst>
        </xdr:cNvPr>
        <xdr:cNvSpPr/>
      </xdr:nvSpPr>
      <xdr:spPr>
        <a:xfrm>
          <a:off x="6789420" y="76201"/>
          <a:ext cx="2439301" cy="2148839"/>
        </a:xfrm>
        <a:prstGeom prst="roundRect">
          <a:avLst>
            <a:gd name="adj" fmla="val 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144403</xdr:colOff>
      <xdr:row>0</xdr:row>
      <xdr:rowOff>68581</xdr:rowOff>
    </xdr:from>
    <xdr:to>
      <xdr:col>19</xdr:col>
      <xdr:colOff>137160</xdr:colOff>
      <xdr:row>12</xdr:row>
      <xdr:rowOff>38100</xdr:rowOff>
    </xdr:to>
    <xdr:sp macro="" textlink="">
      <xdr:nvSpPr>
        <xdr:cNvPr id="5" name="Rectangle: Rounded Corners 4">
          <a:extLst>
            <a:ext uri="{FF2B5EF4-FFF2-40B4-BE49-F238E27FC236}">
              <a16:creationId xmlns:a16="http://schemas.microsoft.com/office/drawing/2014/main" id="{5718584D-E615-2D5F-D807-B85126F4A8DB}"/>
            </a:ext>
          </a:extLst>
        </xdr:cNvPr>
        <xdr:cNvSpPr/>
      </xdr:nvSpPr>
      <xdr:spPr>
        <a:xfrm>
          <a:off x="9288403" y="68581"/>
          <a:ext cx="2431157" cy="2164079"/>
        </a:xfrm>
        <a:prstGeom prst="roundRect">
          <a:avLst>
            <a:gd name="adj" fmla="val 83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99060</xdr:colOff>
      <xdr:row>5</xdr:row>
      <xdr:rowOff>53340</xdr:rowOff>
    </xdr:from>
    <xdr:to>
      <xdr:col>2</xdr:col>
      <xdr:colOff>15240</xdr:colOff>
      <xdr:row>27</xdr:row>
      <xdr:rowOff>68580</xdr:rowOff>
    </xdr:to>
    <xdr:sp macro="" textlink="">
      <xdr:nvSpPr>
        <xdr:cNvPr id="6" name="Rectangle: Rounded Corners 5">
          <a:extLst>
            <a:ext uri="{FF2B5EF4-FFF2-40B4-BE49-F238E27FC236}">
              <a16:creationId xmlns:a16="http://schemas.microsoft.com/office/drawing/2014/main" id="{D73A06BB-C7DC-A142-EAD1-9624998EDE60}"/>
            </a:ext>
          </a:extLst>
        </xdr:cNvPr>
        <xdr:cNvSpPr/>
      </xdr:nvSpPr>
      <xdr:spPr>
        <a:xfrm>
          <a:off x="99060" y="967740"/>
          <a:ext cx="1135380" cy="403860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91440</xdr:colOff>
      <xdr:row>5</xdr:row>
      <xdr:rowOff>60960</xdr:rowOff>
    </xdr:from>
    <xdr:to>
      <xdr:col>5</xdr:col>
      <xdr:colOff>30479</xdr:colOff>
      <xdr:row>12</xdr:row>
      <xdr:rowOff>27632</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6DB35271-97B4-8E9A-5FBB-6A7DC011F0EC}"/>
            </a:ext>
          </a:extLst>
        </xdr:cNvPr>
        <xdr:cNvSpPr/>
      </xdr:nvSpPr>
      <xdr:spPr>
        <a:xfrm>
          <a:off x="1310640" y="975360"/>
          <a:ext cx="1767839" cy="1246832"/>
        </a:xfrm>
        <a:prstGeom prst="roundRect">
          <a:avLst>
            <a:gd name="adj" fmla="val 90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106680</xdr:colOff>
      <xdr:row>5</xdr:row>
      <xdr:rowOff>53340</xdr:rowOff>
    </xdr:from>
    <xdr:to>
      <xdr:col>8</xdr:col>
      <xdr:colOff>16381</xdr:colOff>
      <xdr:row>12</xdr:row>
      <xdr:rowOff>22860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BE7C00F-EDAE-F0AD-5C60-EDFDEA06F4EE}"/>
            </a:ext>
          </a:extLst>
        </xdr:cNvPr>
        <xdr:cNvSpPr/>
      </xdr:nvSpPr>
      <xdr:spPr>
        <a:xfrm>
          <a:off x="3154680" y="967740"/>
          <a:ext cx="1738501" cy="124968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83820</xdr:colOff>
      <xdr:row>5</xdr:row>
      <xdr:rowOff>53340</xdr:rowOff>
    </xdr:from>
    <xdr:to>
      <xdr:col>11</xdr:col>
      <xdr:colOff>15240</xdr:colOff>
      <xdr:row>12</xdr:row>
      <xdr:rowOff>22860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A99AAD49-5373-8F45-E32C-14D90D146662}"/>
            </a:ext>
          </a:extLst>
        </xdr:cNvPr>
        <xdr:cNvSpPr/>
      </xdr:nvSpPr>
      <xdr:spPr>
        <a:xfrm>
          <a:off x="4960620" y="967740"/>
          <a:ext cx="1760220" cy="1249680"/>
        </a:xfrm>
        <a:prstGeom prst="roundRect">
          <a:avLst>
            <a:gd name="adj" fmla="val 958"/>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83820</xdr:colOff>
      <xdr:row>18</xdr:row>
      <xdr:rowOff>76200</xdr:rowOff>
    </xdr:from>
    <xdr:to>
      <xdr:col>11</xdr:col>
      <xdr:colOff>30480</xdr:colOff>
      <xdr:row>27</xdr:row>
      <xdr:rowOff>60293</xdr:rowOff>
    </xdr:to>
    <xdr:sp macro="" textlink="">
      <xdr:nvSpPr>
        <xdr:cNvPr id="11" name="Rectangle: Rounded Corners 10">
          <a:extLst>
            <a:ext uri="{FF2B5EF4-FFF2-40B4-BE49-F238E27FC236}">
              <a16:creationId xmlns:a16="http://schemas.microsoft.com/office/drawing/2014/main" id="{ABB9DE2C-7FBC-17B7-69D1-6D923B83A584}"/>
            </a:ext>
          </a:extLst>
        </xdr:cNvPr>
        <xdr:cNvSpPr/>
      </xdr:nvSpPr>
      <xdr:spPr>
        <a:xfrm>
          <a:off x="1303020" y="3368040"/>
          <a:ext cx="5433060" cy="1630013"/>
        </a:xfrm>
        <a:prstGeom prst="roundRect">
          <a:avLst>
            <a:gd name="adj" fmla="val 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91440</xdr:colOff>
      <xdr:row>12</xdr:row>
      <xdr:rowOff>83820</xdr:rowOff>
    </xdr:from>
    <xdr:to>
      <xdr:col>11</xdr:col>
      <xdr:colOff>22860</xdr:colOff>
      <xdr:row>18</xdr:row>
      <xdr:rowOff>7621</xdr:rowOff>
    </xdr:to>
    <xdr:sp macro="" textlink="">
      <xdr:nvSpPr>
        <xdr:cNvPr id="12" name="Rectangle: Rounded Corners 11">
          <a:extLst>
            <a:ext uri="{FF2B5EF4-FFF2-40B4-BE49-F238E27FC236}">
              <a16:creationId xmlns:a16="http://schemas.microsoft.com/office/drawing/2014/main" id="{3A4E1632-6511-EDD0-A038-393269A4A3C2}"/>
            </a:ext>
          </a:extLst>
        </xdr:cNvPr>
        <xdr:cNvSpPr/>
      </xdr:nvSpPr>
      <xdr:spPr>
        <a:xfrm>
          <a:off x="1310640" y="2278380"/>
          <a:ext cx="5417820" cy="1021081"/>
        </a:xfrm>
        <a:prstGeom prst="roundRect">
          <a:avLst>
            <a:gd name="adj" fmla="val 0"/>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91440</xdr:colOff>
      <xdr:row>12</xdr:row>
      <xdr:rowOff>99060</xdr:rowOff>
    </xdr:from>
    <xdr:to>
      <xdr:col>19</xdr:col>
      <xdr:colOff>144780</xdr:colOff>
      <xdr:row>27</xdr:row>
      <xdr:rowOff>60960</xdr:rowOff>
    </xdr:to>
    <xdr:sp macro="" textlink="">
      <xdr:nvSpPr>
        <xdr:cNvPr id="13" name="Rectangle: Rounded Corners 12">
          <a:extLst>
            <a:ext uri="{FF2B5EF4-FFF2-40B4-BE49-F238E27FC236}">
              <a16:creationId xmlns:a16="http://schemas.microsoft.com/office/drawing/2014/main" id="{61D715B0-CBD7-9B67-0AA8-714F9857E5B2}"/>
            </a:ext>
          </a:extLst>
        </xdr:cNvPr>
        <xdr:cNvSpPr/>
      </xdr:nvSpPr>
      <xdr:spPr>
        <a:xfrm>
          <a:off x="6797040" y="2293620"/>
          <a:ext cx="4930140" cy="2705100"/>
        </a:xfrm>
        <a:prstGeom prst="roundRect">
          <a:avLst>
            <a:gd name="adj" fmla="val 0"/>
          </a:avLst>
        </a:prstGeom>
        <a:solidFill>
          <a:sysClr val="window" lastClr="FFFFFF"/>
        </a:solidFill>
        <a:ln>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45720</xdr:colOff>
      <xdr:row>0</xdr:row>
      <xdr:rowOff>167640</xdr:rowOff>
    </xdr:from>
    <xdr:to>
      <xdr:col>6</xdr:col>
      <xdr:colOff>601980</xdr:colOff>
      <xdr:row>2</xdr:row>
      <xdr:rowOff>160020</xdr:rowOff>
    </xdr:to>
    <xdr:sp macro="" textlink="">
      <xdr:nvSpPr>
        <xdr:cNvPr id="19" name="TextBox 18">
          <a:extLst>
            <a:ext uri="{FF2B5EF4-FFF2-40B4-BE49-F238E27FC236}">
              <a16:creationId xmlns:a16="http://schemas.microsoft.com/office/drawing/2014/main" id="{05ADE380-D426-6EAA-CDAE-99A5B6A75DDA}"/>
            </a:ext>
          </a:extLst>
        </xdr:cNvPr>
        <xdr:cNvSpPr txBox="1"/>
      </xdr:nvSpPr>
      <xdr:spPr>
        <a:xfrm>
          <a:off x="655320" y="167640"/>
          <a:ext cx="36042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            </a:t>
          </a:r>
          <a:r>
            <a:rPr lang="en-IN" sz="1600" b="1"/>
            <a:t>Hospital Emergency</a:t>
          </a:r>
          <a:r>
            <a:rPr lang="en-IN" sz="1600" b="1" baseline="0"/>
            <a:t> Room Dashboard</a:t>
          </a:r>
        </a:p>
        <a:p>
          <a:endParaRPr lang="en-IN" sz="1400" b="1" baseline="0"/>
        </a:p>
        <a:p>
          <a:endParaRPr lang="en-IN" sz="1400" b="1" baseline="0"/>
        </a:p>
        <a:p>
          <a:endParaRPr lang="en-IN" sz="1400" b="1" baseline="0"/>
        </a:p>
      </xdr:txBody>
    </xdr:sp>
    <xdr:clientData/>
  </xdr:twoCellAnchor>
  <xdr:twoCellAnchor editAs="oneCell">
    <xdr:from>
      <xdr:col>0</xdr:col>
      <xdr:colOff>106680</xdr:colOff>
      <xdr:row>0</xdr:row>
      <xdr:rowOff>91440</xdr:rowOff>
    </xdr:from>
    <xdr:to>
      <xdr:col>1</xdr:col>
      <xdr:colOff>266700</xdr:colOff>
      <xdr:row>4</xdr:row>
      <xdr:rowOff>160020</xdr:rowOff>
    </xdr:to>
    <xdr:pic>
      <xdr:nvPicPr>
        <xdr:cNvPr id="21" name="Graphic 20" descr="Hospital with solid fill">
          <a:extLst>
            <a:ext uri="{FF2B5EF4-FFF2-40B4-BE49-F238E27FC236}">
              <a16:creationId xmlns:a16="http://schemas.microsoft.com/office/drawing/2014/main" id="{5E221829-C392-620B-F190-7A9A1686E7F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6680" y="91440"/>
          <a:ext cx="769620" cy="800100"/>
        </a:xfrm>
        <a:prstGeom prst="rect">
          <a:avLst/>
        </a:prstGeom>
      </xdr:spPr>
    </xdr:pic>
    <xdr:clientData/>
  </xdr:twoCellAnchor>
  <xdr:twoCellAnchor>
    <xdr:from>
      <xdr:col>2</xdr:col>
      <xdr:colOff>441960</xdr:colOff>
      <xdr:row>2</xdr:row>
      <xdr:rowOff>76200</xdr:rowOff>
    </xdr:from>
    <xdr:to>
      <xdr:col>5</xdr:col>
      <xdr:colOff>365760</xdr:colOff>
      <xdr:row>4</xdr:row>
      <xdr:rowOff>7620</xdr:rowOff>
    </xdr:to>
    <xdr:sp macro="" textlink="">
      <xdr:nvSpPr>
        <xdr:cNvPr id="22" name="TextBox 21">
          <a:extLst>
            <a:ext uri="{FF2B5EF4-FFF2-40B4-BE49-F238E27FC236}">
              <a16:creationId xmlns:a16="http://schemas.microsoft.com/office/drawing/2014/main" id="{E20C8060-6FE7-A39F-CA9C-83C401862EED}"/>
            </a:ext>
          </a:extLst>
        </xdr:cNvPr>
        <xdr:cNvSpPr txBox="1"/>
      </xdr:nvSpPr>
      <xdr:spPr>
        <a:xfrm>
          <a:off x="1661160" y="441960"/>
          <a:ext cx="17526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t>     Monthly</a:t>
          </a:r>
          <a:r>
            <a:rPr lang="en-IN" sz="1400" b="0" baseline="0"/>
            <a:t> Report</a:t>
          </a:r>
          <a:endParaRPr lang="en-IN" sz="1400" b="0"/>
        </a:p>
      </xdr:txBody>
    </xdr:sp>
    <xdr:clientData/>
  </xdr:twoCellAnchor>
  <xdr:twoCellAnchor>
    <xdr:from>
      <xdr:col>2</xdr:col>
      <xdr:colOff>243840</xdr:colOff>
      <xdr:row>7</xdr:row>
      <xdr:rowOff>144780</xdr:rowOff>
    </xdr:from>
    <xdr:to>
      <xdr:col>4</xdr:col>
      <xdr:colOff>365760</xdr:colOff>
      <xdr:row>9</xdr:row>
      <xdr:rowOff>45720</xdr:rowOff>
    </xdr:to>
    <xdr:sp macro="" textlink="">
      <xdr:nvSpPr>
        <xdr:cNvPr id="23" name="TextBox 22">
          <a:extLst>
            <a:ext uri="{FF2B5EF4-FFF2-40B4-BE49-F238E27FC236}">
              <a16:creationId xmlns:a16="http://schemas.microsoft.com/office/drawing/2014/main" id="{307ECC62-2801-CC82-EF4E-BF36195898F8}"/>
            </a:ext>
          </a:extLst>
        </xdr:cNvPr>
        <xdr:cNvSpPr txBox="1"/>
      </xdr:nvSpPr>
      <xdr:spPr>
        <a:xfrm>
          <a:off x="1463040" y="1424940"/>
          <a:ext cx="1341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200" b="1"/>
            <a:t>No</a:t>
          </a:r>
          <a:r>
            <a:rPr lang="en-IN" sz="1200" b="1" baseline="0"/>
            <a:t>. of Patients</a:t>
          </a:r>
          <a:endParaRPr lang="en-IN" sz="1200" b="1"/>
        </a:p>
      </xdr:txBody>
    </xdr:sp>
    <xdr:clientData/>
  </xdr:twoCellAnchor>
  <xdr:twoCellAnchor>
    <xdr:from>
      <xdr:col>3</xdr:col>
      <xdr:colOff>15240</xdr:colOff>
      <xdr:row>6</xdr:row>
      <xdr:rowOff>68580</xdr:rowOff>
    </xdr:from>
    <xdr:to>
      <xdr:col>4</xdr:col>
      <xdr:colOff>152400</xdr:colOff>
      <xdr:row>7</xdr:row>
      <xdr:rowOff>152400</xdr:rowOff>
    </xdr:to>
    <xdr:sp macro="" textlink="'pivot report'!A5">
      <xdr:nvSpPr>
        <xdr:cNvPr id="24" name="TextBox 23">
          <a:extLst>
            <a:ext uri="{FF2B5EF4-FFF2-40B4-BE49-F238E27FC236}">
              <a16:creationId xmlns:a16="http://schemas.microsoft.com/office/drawing/2014/main" id="{ED77E74D-E27D-711A-B08F-8CD8A00E1476}"/>
            </a:ext>
          </a:extLst>
        </xdr:cNvPr>
        <xdr:cNvSpPr txBox="1"/>
      </xdr:nvSpPr>
      <xdr:spPr>
        <a:xfrm>
          <a:off x="1844040" y="1165860"/>
          <a:ext cx="7467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9DA064-8570-469F-A641-0D361EBED632}" type="TxLink">
            <a:rPr lang="en-US" sz="1600" b="0" i="0" u="none" strike="noStrike">
              <a:solidFill>
                <a:srgbClr val="000000"/>
              </a:solidFill>
              <a:latin typeface="Aptos Narrow"/>
            </a:rPr>
            <a:pPr/>
            <a:t>494</a:t>
          </a:fld>
          <a:endParaRPr lang="en-IN" sz="1600"/>
        </a:p>
      </xdr:txBody>
    </xdr:sp>
    <xdr:clientData/>
  </xdr:twoCellAnchor>
  <xdr:twoCellAnchor editAs="oneCell">
    <xdr:from>
      <xdr:col>4</xdr:col>
      <xdr:colOff>167640</xdr:colOff>
      <xdr:row>5</xdr:row>
      <xdr:rowOff>68580</xdr:rowOff>
    </xdr:from>
    <xdr:to>
      <xdr:col>5</xdr:col>
      <xdr:colOff>144780</xdr:colOff>
      <xdr:row>8</xdr:row>
      <xdr:rowOff>91440</xdr:rowOff>
    </xdr:to>
    <xdr:pic>
      <xdr:nvPicPr>
        <xdr:cNvPr id="26" name="Graphic 25" descr="Sling with solid fill">
          <a:extLst>
            <a:ext uri="{FF2B5EF4-FFF2-40B4-BE49-F238E27FC236}">
              <a16:creationId xmlns:a16="http://schemas.microsoft.com/office/drawing/2014/main" id="{E4769640-C39C-DCBD-7926-820232B06B4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06040" y="982980"/>
          <a:ext cx="586740" cy="571500"/>
        </a:xfrm>
        <a:prstGeom prst="rect">
          <a:avLst/>
        </a:prstGeom>
      </xdr:spPr>
    </xdr:pic>
    <xdr:clientData/>
  </xdr:twoCellAnchor>
  <xdr:twoCellAnchor>
    <xdr:from>
      <xdr:col>5</xdr:col>
      <xdr:colOff>327660</xdr:colOff>
      <xdr:row>7</xdr:row>
      <xdr:rowOff>167640</xdr:rowOff>
    </xdr:from>
    <xdr:to>
      <xdr:col>7</xdr:col>
      <xdr:colOff>571500</xdr:colOff>
      <xdr:row>9</xdr:row>
      <xdr:rowOff>83820</xdr:rowOff>
    </xdr:to>
    <xdr:sp macro="" textlink="">
      <xdr:nvSpPr>
        <xdr:cNvPr id="27" name="TextBox 26">
          <a:extLst>
            <a:ext uri="{FF2B5EF4-FFF2-40B4-BE49-F238E27FC236}">
              <a16:creationId xmlns:a16="http://schemas.microsoft.com/office/drawing/2014/main" id="{8FBA0674-8074-D195-D4B0-359317676F88}"/>
            </a:ext>
          </a:extLst>
        </xdr:cNvPr>
        <xdr:cNvSpPr txBox="1"/>
      </xdr:nvSpPr>
      <xdr:spPr>
        <a:xfrm>
          <a:off x="3375660" y="1447800"/>
          <a:ext cx="14630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Wait Time</a:t>
          </a:r>
        </a:p>
      </xdr:txBody>
    </xdr:sp>
    <xdr:clientData/>
  </xdr:twoCellAnchor>
  <xdr:twoCellAnchor>
    <xdr:from>
      <xdr:col>5</xdr:col>
      <xdr:colOff>563880</xdr:colOff>
      <xdr:row>6</xdr:row>
      <xdr:rowOff>60960</xdr:rowOff>
    </xdr:from>
    <xdr:to>
      <xdr:col>7</xdr:col>
      <xdr:colOff>45720</xdr:colOff>
      <xdr:row>7</xdr:row>
      <xdr:rowOff>137160</xdr:rowOff>
    </xdr:to>
    <xdr:sp macro="" textlink="'pivot report'!A9">
      <xdr:nvSpPr>
        <xdr:cNvPr id="28" name="TextBox 27">
          <a:extLst>
            <a:ext uri="{FF2B5EF4-FFF2-40B4-BE49-F238E27FC236}">
              <a16:creationId xmlns:a16="http://schemas.microsoft.com/office/drawing/2014/main" id="{0E752019-1CD1-AFC6-F754-632B94319660}"/>
            </a:ext>
          </a:extLst>
        </xdr:cNvPr>
        <xdr:cNvSpPr txBox="1"/>
      </xdr:nvSpPr>
      <xdr:spPr>
        <a:xfrm>
          <a:off x="3611880" y="1158240"/>
          <a:ext cx="7010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000000"/>
              </a:solidFill>
              <a:latin typeface="Aptos Narrow"/>
            </a:rPr>
            <a:t> </a:t>
          </a:r>
          <a:fld id="{898D654F-163B-4CD5-A062-63F806DE70BD}" type="TxLink">
            <a:rPr lang="en-US" sz="1600" b="0" i="0" u="none" strike="noStrike">
              <a:solidFill>
                <a:srgbClr val="000000"/>
              </a:solidFill>
              <a:latin typeface="Aptos Narrow"/>
            </a:rPr>
            <a:pPr/>
            <a:t>35.54</a:t>
          </a:fld>
          <a:endParaRPr lang="en-IN" sz="1600"/>
        </a:p>
      </xdr:txBody>
    </xdr:sp>
    <xdr:clientData/>
  </xdr:twoCellAnchor>
  <xdr:twoCellAnchor editAs="oneCell">
    <xdr:from>
      <xdr:col>7</xdr:col>
      <xdr:colOff>114300</xdr:colOff>
      <xdr:row>5</xdr:row>
      <xdr:rowOff>30480</xdr:rowOff>
    </xdr:from>
    <xdr:to>
      <xdr:col>8</xdr:col>
      <xdr:colOff>129540</xdr:colOff>
      <xdr:row>8</xdr:row>
      <xdr:rowOff>91440</xdr:rowOff>
    </xdr:to>
    <xdr:pic>
      <xdr:nvPicPr>
        <xdr:cNvPr id="30" name="Graphic 29" descr="Hourglass 30% with solid fill">
          <a:extLst>
            <a:ext uri="{FF2B5EF4-FFF2-40B4-BE49-F238E27FC236}">
              <a16:creationId xmlns:a16="http://schemas.microsoft.com/office/drawing/2014/main" id="{86064332-BD98-778D-140F-E74ED9B52E1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381500" y="944880"/>
          <a:ext cx="624840" cy="609600"/>
        </a:xfrm>
        <a:prstGeom prst="rect">
          <a:avLst/>
        </a:prstGeom>
      </xdr:spPr>
    </xdr:pic>
    <xdr:clientData/>
  </xdr:twoCellAnchor>
  <xdr:twoCellAnchor>
    <xdr:from>
      <xdr:col>8</xdr:col>
      <xdr:colOff>182880</xdr:colOff>
      <xdr:row>7</xdr:row>
      <xdr:rowOff>167640</xdr:rowOff>
    </xdr:from>
    <xdr:to>
      <xdr:col>10</xdr:col>
      <xdr:colOff>495300</xdr:colOff>
      <xdr:row>9</xdr:row>
      <xdr:rowOff>45720</xdr:rowOff>
    </xdr:to>
    <xdr:sp macro="" textlink="">
      <xdr:nvSpPr>
        <xdr:cNvPr id="31" name="TextBox 30">
          <a:extLst>
            <a:ext uri="{FF2B5EF4-FFF2-40B4-BE49-F238E27FC236}">
              <a16:creationId xmlns:a16="http://schemas.microsoft.com/office/drawing/2014/main" id="{127734D7-C3B1-1A04-E2B4-A91EBA87004C}"/>
            </a:ext>
          </a:extLst>
        </xdr:cNvPr>
        <xdr:cNvSpPr txBox="1"/>
      </xdr:nvSpPr>
      <xdr:spPr>
        <a:xfrm>
          <a:off x="5059680" y="1447800"/>
          <a:ext cx="15316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200" b="1"/>
            <a:t>Satisfaction Score</a:t>
          </a:r>
        </a:p>
      </xdr:txBody>
    </xdr:sp>
    <xdr:clientData/>
  </xdr:twoCellAnchor>
  <xdr:twoCellAnchor>
    <xdr:from>
      <xdr:col>8</xdr:col>
      <xdr:colOff>518160</xdr:colOff>
      <xdr:row>6</xdr:row>
      <xdr:rowOff>38100</xdr:rowOff>
    </xdr:from>
    <xdr:to>
      <xdr:col>10</xdr:col>
      <xdr:colOff>7620</xdr:colOff>
      <xdr:row>7</xdr:row>
      <xdr:rowOff>99060</xdr:rowOff>
    </xdr:to>
    <xdr:sp macro="" textlink="'pivot report'!A13">
      <xdr:nvSpPr>
        <xdr:cNvPr id="32" name="TextBox 31">
          <a:extLst>
            <a:ext uri="{FF2B5EF4-FFF2-40B4-BE49-F238E27FC236}">
              <a16:creationId xmlns:a16="http://schemas.microsoft.com/office/drawing/2014/main" id="{02455B18-2773-2D64-F278-25DCFE19B7F8}"/>
            </a:ext>
          </a:extLst>
        </xdr:cNvPr>
        <xdr:cNvSpPr txBox="1"/>
      </xdr:nvSpPr>
      <xdr:spPr>
        <a:xfrm>
          <a:off x="5394960" y="1135380"/>
          <a:ext cx="7086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000000"/>
              </a:solidFill>
              <a:latin typeface="Aptos Narrow"/>
            </a:rPr>
            <a:t>   </a:t>
          </a:r>
          <a:fld id="{6532E3B0-FE3E-49A2-BB10-FDA724C08A7D}" type="TxLink">
            <a:rPr lang="en-US" sz="1600" b="0" i="0" u="none" strike="noStrike">
              <a:solidFill>
                <a:srgbClr val="000000"/>
              </a:solidFill>
              <a:latin typeface="Aptos Narrow"/>
            </a:rPr>
            <a:pPr/>
            <a:t>4.95</a:t>
          </a:fld>
          <a:endParaRPr lang="en-IN" sz="1600"/>
        </a:p>
      </xdr:txBody>
    </xdr:sp>
    <xdr:clientData/>
  </xdr:twoCellAnchor>
  <xdr:twoCellAnchor editAs="oneCell">
    <xdr:from>
      <xdr:col>10</xdr:col>
      <xdr:colOff>106680</xdr:colOff>
      <xdr:row>5</xdr:row>
      <xdr:rowOff>15240</xdr:rowOff>
    </xdr:from>
    <xdr:to>
      <xdr:col>11</xdr:col>
      <xdr:colOff>106680</xdr:colOff>
      <xdr:row>8</xdr:row>
      <xdr:rowOff>99060</xdr:rowOff>
    </xdr:to>
    <xdr:pic>
      <xdr:nvPicPr>
        <xdr:cNvPr id="35" name="Graphic 34" descr="Checklist with solid fill">
          <a:extLst>
            <a:ext uri="{FF2B5EF4-FFF2-40B4-BE49-F238E27FC236}">
              <a16:creationId xmlns:a16="http://schemas.microsoft.com/office/drawing/2014/main" id="{1288FFB2-7A14-9948-B264-F9CB8E60E6A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02680" y="929640"/>
          <a:ext cx="609600" cy="632460"/>
        </a:xfrm>
        <a:prstGeom prst="rect">
          <a:avLst/>
        </a:prstGeom>
      </xdr:spPr>
    </xdr:pic>
    <xdr:clientData/>
  </xdr:twoCellAnchor>
  <xdr:twoCellAnchor editAs="oneCell">
    <xdr:from>
      <xdr:col>0</xdr:col>
      <xdr:colOff>99060</xdr:colOff>
      <xdr:row>5</xdr:row>
      <xdr:rowOff>60960</xdr:rowOff>
    </xdr:from>
    <xdr:to>
      <xdr:col>2</xdr:col>
      <xdr:colOff>31860</xdr:colOff>
      <xdr:row>27</xdr:row>
      <xdr:rowOff>69600</xdr:rowOff>
    </xdr:to>
    <mc:AlternateContent xmlns:mc="http://schemas.openxmlformats.org/markup-compatibility/2006" xmlns:a14="http://schemas.microsoft.com/office/drawing/2010/main">
      <mc:Choice Requires="a14">
        <xdr:graphicFrame macro="">
          <xdr:nvGraphicFramePr>
            <xdr:cNvPr id="36" name="Date (Month)">
              <a:extLst>
                <a:ext uri="{FF2B5EF4-FFF2-40B4-BE49-F238E27FC236}">
                  <a16:creationId xmlns:a16="http://schemas.microsoft.com/office/drawing/2014/main" id="{098B0C97-AC28-493E-96A6-20C2E269EF3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9060" y="975360"/>
              <a:ext cx="1152000" cy="4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99060</xdr:colOff>
      <xdr:row>9</xdr:row>
      <xdr:rowOff>30480</xdr:rowOff>
    </xdr:from>
    <xdr:to>
      <xdr:col>5</xdr:col>
      <xdr:colOff>45720</xdr:colOff>
      <xdr:row>12</xdr:row>
      <xdr:rowOff>30480</xdr:rowOff>
    </xdr:to>
    <xdr:graphicFrame macro="">
      <xdr:nvGraphicFramePr>
        <xdr:cNvPr id="10" name="Chart 9">
          <a:extLst>
            <a:ext uri="{FF2B5EF4-FFF2-40B4-BE49-F238E27FC236}">
              <a16:creationId xmlns:a16="http://schemas.microsoft.com/office/drawing/2014/main" id="{60793B60-2A0C-4544-883B-F208E5FE2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99060</xdr:colOff>
      <xdr:row>9</xdr:row>
      <xdr:rowOff>30480</xdr:rowOff>
    </xdr:from>
    <xdr:to>
      <xdr:col>8</xdr:col>
      <xdr:colOff>30480</xdr:colOff>
      <xdr:row>12</xdr:row>
      <xdr:rowOff>30480</xdr:rowOff>
    </xdr:to>
    <xdr:graphicFrame macro="">
      <xdr:nvGraphicFramePr>
        <xdr:cNvPr id="14" name="Chart 13">
          <a:extLst>
            <a:ext uri="{FF2B5EF4-FFF2-40B4-BE49-F238E27FC236}">
              <a16:creationId xmlns:a16="http://schemas.microsoft.com/office/drawing/2014/main" id="{274DDE56-4B36-4CCA-88C5-647F65356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68580</xdr:colOff>
      <xdr:row>9</xdr:row>
      <xdr:rowOff>38100</xdr:rowOff>
    </xdr:from>
    <xdr:to>
      <xdr:col>11</xdr:col>
      <xdr:colOff>7620</xdr:colOff>
      <xdr:row>12</xdr:row>
      <xdr:rowOff>30480</xdr:rowOff>
    </xdr:to>
    <xdr:graphicFrame macro="">
      <xdr:nvGraphicFramePr>
        <xdr:cNvPr id="16" name="Chart 15">
          <a:extLst>
            <a:ext uri="{FF2B5EF4-FFF2-40B4-BE49-F238E27FC236}">
              <a16:creationId xmlns:a16="http://schemas.microsoft.com/office/drawing/2014/main" id="{68BF67D9-E6CF-4921-A2BC-6EC667DD3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91440</xdr:colOff>
      <xdr:row>18</xdr:row>
      <xdr:rowOff>68580</xdr:rowOff>
    </xdr:from>
    <xdr:to>
      <xdr:col>11</xdr:col>
      <xdr:colOff>22860</xdr:colOff>
      <xdr:row>27</xdr:row>
      <xdr:rowOff>68580</xdr:rowOff>
    </xdr:to>
    <xdr:graphicFrame macro="">
      <xdr:nvGraphicFramePr>
        <xdr:cNvPr id="29" name="Chart 28">
          <a:extLst>
            <a:ext uri="{FF2B5EF4-FFF2-40B4-BE49-F238E27FC236}">
              <a16:creationId xmlns:a16="http://schemas.microsoft.com/office/drawing/2014/main" id="{E1753E43-E082-4AA8-9167-733987AB1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91440</xdr:colOff>
      <xdr:row>0</xdr:row>
      <xdr:rowOff>76200</xdr:rowOff>
    </xdr:from>
    <xdr:to>
      <xdr:col>15</xdr:col>
      <xdr:colOff>91440</xdr:colOff>
      <xdr:row>10</xdr:row>
      <xdr:rowOff>15240</xdr:rowOff>
    </xdr:to>
    <xdr:graphicFrame macro="">
      <xdr:nvGraphicFramePr>
        <xdr:cNvPr id="33" name="Chart 32">
          <a:extLst>
            <a:ext uri="{FF2B5EF4-FFF2-40B4-BE49-F238E27FC236}">
              <a16:creationId xmlns:a16="http://schemas.microsoft.com/office/drawing/2014/main" id="{850218CC-28E7-47A9-8DDD-0C14F0915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449580</xdr:colOff>
      <xdr:row>10</xdr:row>
      <xdr:rowOff>106680</xdr:rowOff>
    </xdr:from>
    <xdr:to>
      <xdr:col>14</xdr:col>
      <xdr:colOff>342900</xdr:colOff>
      <xdr:row>11</xdr:row>
      <xdr:rowOff>160020</xdr:rowOff>
    </xdr:to>
    <xdr:sp macro="" textlink="">
      <xdr:nvSpPr>
        <xdr:cNvPr id="34" name="TextBox 33">
          <a:extLst>
            <a:ext uri="{FF2B5EF4-FFF2-40B4-BE49-F238E27FC236}">
              <a16:creationId xmlns:a16="http://schemas.microsoft.com/office/drawing/2014/main" id="{E9FEE2AF-FBEE-9B2D-E093-8749720046E1}"/>
            </a:ext>
          </a:extLst>
        </xdr:cNvPr>
        <xdr:cNvSpPr txBox="1"/>
      </xdr:nvSpPr>
      <xdr:spPr>
        <a:xfrm>
          <a:off x="7155180" y="1935480"/>
          <a:ext cx="17221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Patient</a:t>
          </a:r>
          <a:r>
            <a:rPr lang="en-IN" sz="1100" b="1" baseline="0"/>
            <a:t> Attended Status</a:t>
          </a:r>
          <a:endParaRPr lang="en-IN" sz="1100" b="1"/>
        </a:p>
      </xdr:txBody>
    </xdr:sp>
    <xdr:clientData/>
  </xdr:twoCellAnchor>
  <xdr:twoCellAnchor>
    <xdr:from>
      <xdr:col>15</xdr:col>
      <xdr:colOff>121920</xdr:colOff>
      <xdr:row>0</xdr:row>
      <xdr:rowOff>60960</xdr:rowOff>
    </xdr:from>
    <xdr:to>
      <xdr:col>19</xdr:col>
      <xdr:colOff>137160</xdr:colOff>
      <xdr:row>10</xdr:row>
      <xdr:rowOff>38101</xdr:rowOff>
    </xdr:to>
    <xdr:graphicFrame macro="">
      <xdr:nvGraphicFramePr>
        <xdr:cNvPr id="37" name="Chart 36">
          <a:extLst>
            <a:ext uri="{FF2B5EF4-FFF2-40B4-BE49-F238E27FC236}">
              <a16:creationId xmlns:a16="http://schemas.microsoft.com/office/drawing/2014/main" id="{EF7D4536-F18B-4A14-842F-B7C8756DB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548640</xdr:colOff>
      <xdr:row>10</xdr:row>
      <xdr:rowOff>106680</xdr:rowOff>
    </xdr:from>
    <xdr:to>
      <xdr:col>18</xdr:col>
      <xdr:colOff>137160</xdr:colOff>
      <xdr:row>12</xdr:row>
      <xdr:rowOff>7620</xdr:rowOff>
    </xdr:to>
    <xdr:sp macro="" textlink="">
      <xdr:nvSpPr>
        <xdr:cNvPr id="38" name="TextBox 37">
          <a:extLst>
            <a:ext uri="{FF2B5EF4-FFF2-40B4-BE49-F238E27FC236}">
              <a16:creationId xmlns:a16="http://schemas.microsoft.com/office/drawing/2014/main" id="{8CD41F52-34D5-0A36-E52D-D41622C2440B}"/>
            </a:ext>
          </a:extLst>
        </xdr:cNvPr>
        <xdr:cNvSpPr txBox="1"/>
      </xdr:nvSpPr>
      <xdr:spPr>
        <a:xfrm>
          <a:off x="9692640" y="1935480"/>
          <a:ext cx="14173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Gender</a:t>
          </a:r>
          <a:r>
            <a:rPr lang="en-IN" sz="1100" b="1" baseline="0"/>
            <a:t> Wise Report</a:t>
          </a:r>
          <a:endParaRPr lang="en-IN" sz="1100" b="1"/>
        </a:p>
      </xdr:txBody>
    </xdr:sp>
    <xdr:clientData/>
  </xdr:twoCellAnchor>
  <xdr:twoCellAnchor>
    <xdr:from>
      <xdr:col>11</xdr:col>
      <xdr:colOff>83820</xdr:colOff>
      <xdr:row>12</xdr:row>
      <xdr:rowOff>99060</xdr:rowOff>
    </xdr:from>
    <xdr:to>
      <xdr:col>19</xdr:col>
      <xdr:colOff>137160</xdr:colOff>
      <xdr:row>25</xdr:row>
      <xdr:rowOff>114300</xdr:rowOff>
    </xdr:to>
    <xdr:graphicFrame macro="">
      <xdr:nvGraphicFramePr>
        <xdr:cNvPr id="39" name="Chart 38">
          <a:extLst>
            <a:ext uri="{FF2B5EF4-FFF2-40B4-BE49-F238E27FC236}">
              <a16:creationId xmlns:a16="http://schemas.microsoft.com/office/drawing/2014/main" id="{BD1EBF7C-EBB4-4414-B831-F1080FEF3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495300</xdr:colOff>
      <xdr:row>25</xdr:row>
      <xdr:rowOff>114300</xdr:rowOff>
    </xdr:from>
    <xdr:to>
      <xdr:col>16</xdr:col>
      <xdr:colOff>449580</xdr:colOff>
      <xdr:row>27</xdr:row>
      <xdr:rowOff>60960</xdr:rowOff>
    </xdr:to>
    <xdr:sp macro="" textlink="">
      <xdr:nvSpPr>
        <xdr:cNvPr id="40" name="TextBox 39">
          <a:extLst>
            <a:ext uri="{FF2B5EF4-FFF2-40B4-BE49-F238E27FC236}">
              <a16:creationId xmlns:a16="http://schemas.microsoft.com/office/drawing/2014/main" id="{409E55EB-19DB-1588-000B-45379113F772}"/>
            </a:ext>
          </a:extLst>
        </xdr:cNvPr>
        <xdr:cNvSpPr txBox="1"/>
      </xdr:nvSpPr>
      <xdr:spPr>
        <a:xfrm>
          <a:off x="7810500" y="4686300"/>
          <a:ext cx="2392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400" b="1"/>
            <a:t>Patient</a:t>
          </a:r>
          <a:r>
            <a:rPr lang="en-IN" sz="1400" b="1" baseline="0"/>
            <a:t> Referal Status</a:t>
          </a:r>
          <a:endParaRPr lang="en-IN" sz="1400" b="1"/>
        </a:p>
      </xdr:txBody>
    </xdr:sp>
    <xdr:clientData/>
  </xdr:twoCellAnchor>
  <xdr:twoCellAnchor editAs="oneCell">
    <xdr:from>
      <xdr:col>8</xdr:col>
      <xdr:colOff>83820</xdr:colOff>
      <xdr:row>0</xdr:row>
      <xdr:rowOff>68580</xdr:rowOff>
    </xdr:from>
    <xdr:to>
      <xdr:col>11</xdr:col>
      <xdr:colOff>30480</xdr:colOff>
      <xdr:row>5</xdr:row>
      <xdr:rowOff>15240</xdr:rowOff>
    </xdr:to>
    <mc:AlternateContent xmlns:mc="http://schemas.openxmlformats.org/markup-compatibility/2006" xmlns:a14="http://schemas.microsoft.com/office/drawing/2010/main">
      <mc:Choice Requires="a14">
        <xdr:graphicFrame macro="">
          <xdr:nvGraphicFramePr>
            <xdr:cNvPr id="41" name="Date (Year)">
              <a:extLst>
                <a:ext uri="{FF2B5EF4-FFF2-40B4-BE49-F238E27FC236}">
                  <a16:creationId xmlns:a16="http://schemas.microsoft.com/office/drawing/2014/main" id="{DC60DB90-7E90-4F5B-9160-E5439215B56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960620" y="68580"/>
              <a:ext cx="177546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83820</xdr:colOff>
          <xdr:row>12</xdr:row>
          <xdr:rowOff>68580</xdr:rowOff>
        </xdr:from>
        <xdr:to>
          <xdr:col>11</xdr:col>
          <xdr:colOff>7620</xdr:colOff>
          <xdr:row>18</xdr:row>
          <xdr:rowOff>22860</xdr:rowOff>
        </xdr:to>
        <xdr:pic>
          <xdr:nvPicPr>
            <xdr:cNvPr id="2057" name="Picture 9">
              <a:extLst>
                <a:ext uri="{FF2B5EF4-FFF2-40B4-BE49-F238E27FC236}">
                  <a16:creationId xmlns:a16="http://schemas.microsoft.com/office/drawing/2014/main" id="{75D1D387-B7B3-AC8C-B54F-3068E59F4751}"/>
                </a:ext>
              </a:extLst>
            </xdr:cNvPr>
            <xdr:cNvPicPr>
              <a:picLocks noChangeAspect="1" noChangeArrowheads="1"/>
              <a:extLst>
                <a:ext uri="{84589F7E-364E-4C9E-8A38-B11213B215E9}">
                  <a14:cameraTool cellRange="'pivot report'!$A$43:$D$45" spid="_x0000_s2072"/>
                </a:ext>
              </a:extLst>
            </xdr:cNvPicPr>
          </xdr:nvPicPr>
          <xdr:blipFill>
            <a:blip xmlns:r="http://schemas.openxmlformats.org/officeDocument/2006/relationships" r:embed="rId19"/>
            <a:srcRect/>
            <a:stretch>
              <a:fillRect/>
            </a:stretch>
          </xdr:blipFill>
          <xdr:spPr bwMode="auto">
            <a:xfrm>
              <a:off x="1303020" y="2263140"/>
              <a:ext cx="5410200" cy="10515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182880</xdr:colOff>
      <xdr:row>2</xdr:row>
      <xdr:rowOff>114300</xdr:rowOff>
    </xdr:from>
    <xdr:to>
      <xdr:col>21</xdr:col>
      <xdr:colOff>579120</xdr:colOff>
      <xdr:row>23</xdr:row>
      <xdr:rowOff>38100</xdr:rowOff>
    </xdr:to>
    <xdr:graphicFrame macro="">
      <xdr:nvGraphicFramePr>
        <xdr:cNvPr id="2" name="Chart 1">
          <a:extLst>
            <a:ext uri="{FF2B5EF4-FFF2-40B4-BE49-F238E27FC236}">
              <a16:creationId xmlns:a16="http://schemas.microsoft.com/office/drawing/2014/main" id="{CD024544-8621-47A0-87AF-80A98480A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0.04722</cdr:x>
      <cdr:y>0.08097</cdr:y>
    </cdr:from>
    <cdr:to>
      <cdr:x>0.11985</cdr:x>
      <cdr:y>0.32389</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084879-9C6A-079F-0617-731BB76C6B0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94360" y="304800"/>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205740</xdr:colOff>
      <xdr:row>0</xdr:row>
      <xdr:rowOff>144780</xdr:rowOff>
    </xdr:from>
    <xdr:to>
      <xdr:col>20</xdr:col>
      <xdr:colOff>533400</xdr:colOff>
      <xdr:row>23</xdr:row>
      <xdr:rowOff>175260</xdr:rowOff>
    </xdr:to>
    <xdr:graphicFrame macro="">
      <xdr:nvGraphicFramePr>
        <xdr:cNvPr id="2" name="Chart 1">
          <a:extLst>
            <a:ext uri="{FF2B5EF4-FFF2-40B4-BE49-F238E27FC236}">
              <a16:creationId xmlns:a16="http://schemas.microsoft.com/office/drawing/2014/main" id="{90995AD5-A2E5-4F44-AFB8-0239A4C3C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0.06206</cdr:x>
      <cdr:y>0.07194</cdr:y>
    </cdr:from>
    <cdr:to>
      <cdr:x>0.13884</cdr:x>
      <cdr:y>0.28777</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A9ACC93-6AF9-B492-DDFF-C2C25CA1010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39140" y="304800"/>
          <a:ext cx="914400" cy="9144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38100</xdr:colOff>
      <xdr:row>0</xdr:row>
      <xdr:rowOff>30480</xdr:rowOff>
    </xdr:from>
    <xdr:to>
      <xdr:col>21</xdr:col>
      <xdr:colOff>281940</xdr:colOff>
      <xdr:row>24</xdr:row>
      <xdr:rowOff>30480</xdr:rowOff>
    </xdr:to>
    <xdr:graphicFrame macro="">
      <xdr:nvGraphicFramePr>
        <xdr:cNvPr id="7" name="Chart 1">
          <a:extLst>
            <a:ext uri="{FF2B5EF4-FFF2-40B4-BE49-F238E27FC236}">
              <a16:creationId xmlns:a16="http://schemas.microsoft.com/office/drawing/2014/main" id="{B78EBA29-1BBE-4ECB-AEAA-EAA5D0B27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0.07292</cdr:x>
      <cdr:y>0.0336</cdr:y>
    </cdr:from>
    <cdr:to>
      <cdr:x>0.15196</cdr:x>
      <cdr:y>0.22049</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55307BE-E101-D765-5044-8645D9A00A0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06779" y="147487"/>
          <a:ext cx="982981" cy="820253"/>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1041667" createdVersion="5" refreshedVersion="8" minRefreshableVersion="3" recordCount="0" supportSubquery="1" supportAdvancedDrill="1" xr:uid="{9F339790-92AC-4356-ADAC-95C62FA4F042}">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138889" createdVersion="5" refreshedVersion="8" minRefreshableVersion="3" recordCount="0" supportSubquery="1" supportAdvancedDrill="1" xr:uid="{DB281990-61ED-421D-9566-23C30CEECAA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1620368" createdVersion="5" refreshedVersion="8" minRefreshableVersion="3" recordCount="0" supportSubquery="1" supportAdvancedDrill="1" xr:uid="{8FCF1EB6-D40D-436B-A965-335E250F6B93}">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2083337" createdVersion="5" refreshedVersion="8" minRefreshableVersion="3" recordCount="0" supportSubquery="1" supportAdvancedDrill="1" xr:uid="{217208D7-709C-4866-8197-EFFD5468D472}">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2777776" createdVersion="5" refreshedVersion="8" minRefreshableVersion="3" recordCount="0" supportSubquery="1" supportAdvancedDrill="1" xr:uid="{8607B248-0236-49E9-B69E-122831C41BDE}">
  <cacheSource type="external" connectionId="3"/>
  <cacheFields count="4">
    <cacheField name="[Calendar_table].[Date (Day)].[Date (Day)]" caption="Date (Day)" numFmtId="0" hierarchy="2" level="1">
      <sharedItems count="32">
        <s v="1-Aug"/>
        <s v="2-Aug"/>
        <s v="3-Aug"/>
        <s v="4-Aug"/>
        <s v="5-Aug"/>
        <s v="6-Aug"/>
        <s v="7-Aug"/>
        <s v="8-Aug"/>
        <s v="9-Aug"/>
        <s v="10-Aug"/>
        <s v="11-Aug"/>
        <s v="12-Aug"/>
        <s v="13-Aug"/>
        <s v="14-Aug"/>
        <s v="15-Aug"/>
        <s v="16-Aug"/>
        <s v="17-Aug"/>
        <s v="18-Aug"/>
        <s v="19-Aug"/>
        <s v="20-Aug"/>
        <s v="21-Aug"/>
        <s v="22-Aug"/>
        <s v="23-Aug"/>
        <s v="24-Aug"/>
        <s v="25-Aug"/>
        <s v="26-Aug"/>
        <s v="27-Aug"/>
        <s v="28-Aug"/>
        <s v="29-Aug"/>
        <s v="30-Aug"/>
        <s v="31-Aug"/>
        <s v="2-May"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3472223" createdVersion="5" refreshedVersion="8" minRefreshableVersion="3" recordCount="0" supportSubquery="1" supportAdvancedDrill="1" xr:uid="{AB53F187-E891-4119-B2EF-7A686305AAFD}">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4166669" createdVersion="5" refreshedVersion="8" minRefreshableVersion="3" recordCount="0" supportSubquery="1" supportAdvancedDrill="1" xr:uid="{E216C143-3B3A-40B3-BC8B-32D2A7483984}">
  <cacheSource type="external" connectionId="3"/>
  <cacheFields count="5">
    <cacheField name="[Calenda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4861108" createdVersion="5" refreshedVersion="8" minRefreshableVersion="3" recordCount="0" supportSubquery="1" supportAdvancedDrill="1" xr:uid="{AAF866E8-FC0C-4007-9B86-1A64D2FC6405}">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5439816" createdVersion="5" refreshedVersion="8" minRefreshableVersion="3" recordCount="0" supportSubquery="1" supportAdvancedDrill="1" xr:uid="{D8FF1DCF-F4BF-42B4-A635-03CAAC8E4EC6}">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6134263" createdVersion="5" refreshedVersion="8" minRefreshableVersion="3" recordCount="0" supportSubquery="1" supportAdvancedDrill="1" xr:uid="{A1F522B4-DE3C-40FE-B764-2705B1B8E96D}">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6944448" createdVersion="5" refreshedVersion="8" minRefreshableVersion="3" recordCount="0" supportSubquery="1" supportAdvancedDrill="1" xr:uid="{6EF6AD3F-AF68-479E-BB77-CABF71A2E8AB}">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2.396857638887" createdVersion="5" refreshedVersion="8" minRefreshableVersion="3" recordCount="0" supportSubquery="1" supportAdvancedDrill="1" xr:uid="{7730A00E-EC4F-4C56-A50D-F89CBA96E030}">
  <cacheSource type="external" connectionId="3"/>
  <cacheFields count="3">
    <cacheField name="[Calendar_table].[Date (Month)].[Date (Month)]" caption="Date (Month)" numFmtId="0" hierarchy="1" level="1">
      <sharedItems count="1">
        <s v="Aug"/>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ham kumar singh" refreshedDate="46131.676495023145" createdVersion="3" refreshedVersion="8" minRefreshableVersion="3" recordCount="0" supportSubquery="1" supportAdvancedDrill="1" xr:uid="{D82DAE83-7315-4B93-8F18-52ACF019A6D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964999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673DA-D4D5-4FD5-B9C7-71EE0934C47F}" name="PivotTable5" cacheId="4" applyNumberFormats="0" applyBorderFormats="0" applyFontFormats="0" applyPatternFormats="0" applyAlignmentFormats="0" applyWidthHeightFormats="1" dataCaption="Values" tag="61886a11-c316-4039-a42d-106524da38a4" updatedVersion="8" minRefreshableVersion="3" subtotalHiddenItems="1" itemPrintTitles="1" createdVersion="5" indent="0" outline="1" outlineData="1" multipleFieldFilters="0" chartFormat="44">
  <location ref="K5:L37" firstHeaderRow="1" firstDataRow="1" firstDataCol="1"/>
  <pivotFields count="4">
    <pivotField axis="axisRow" allDrilled="1" subtotalTop="0" showAll="0" dataSourceSort="1" defaultSubtotal="0">
      <items count="3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1">
      <pivotArea collapsedLevelsAreSubtotals="1" fieldPosition="0">
        <references count="1">
          <reference field="0" count="0"/>
        </references>
      </pivotArea>
    </format>
    <format dxfId="0">
      <pivotArea dataOnly="0" labelOnly="1" fieldPosition="0">
        <references count="1">
          <reference field="0" count="0"/>
        </references>
      </pivotArea>
    </format>
  </formats>
  <chartFormats count="3">
    <chartFormat chart="39"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0" count="1" selected="0">
            <x v="3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6D06E-477D-45AB-BDE6-F32C158028FA}" name="PivotTable12" cacheId="11" applyNumberFormats="0" applyBorderFormats="0" applyFontFormats="0" applyPatternFormats="0" applyAlignmentFormats="0" applyWidthHeightFormats="1" dataCaption="Values" tag="f56c8367-b387-4ed5-9b75-f732b8870e8f" updatedVersion="8" minRefreshableVersion="3" subtotalHiddenItems="1" itemPrintTitles="1" createdVersion="5" indent="0" outline="1" outlineData="1" multipleFieldFilters="0" chartFormat="20">
  <location ref="L54:L58"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3">
    <field x="2"/>
    <field x="1"/>
    <field x="0"/>
  </rowFields>
  <rowItems count="4">
    <i>
      <x/>
    </i>
    <i r="1">
      <x/>
    </i>
    <i r="2">
      <x/>
    </i>
    <i t="grand">
      <x/>
    </i>
  </rowItems>
  <formats count="1">
    <format dxfId="2">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464FC6-B5E1-41FA-86D0-2C18B2D3FAF5}" name="PivotTable4" cacheId="3" applyNumberFormats="0" applyBorderFormats="0" applyFontFormats="0" applyPatternFormats="0" applyAlignmentFormats="0" applyWidthHeightFormats="1" dataCaption="Values" tag="f56c8367-b387-4ed5-9b75-f732b8870e8f"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60894-7EBB-4086-8DBA-E6E765FA8225}" name="PivotTable11" cacheId="10" applyNumberFormats="0" applyBorderFormats="0" applyFontFormats="0" applyPatternFormats="0" applyAlignmentFormats="0" applyWidthHeightFormats="1" dataCaption="Values" tag="f56c8367-b387-4ed5-9b75-f732b8870e8f" updatedVersion="8" minRefreshableVersion="3" subtotalHiddenItems="1" itemPrintTitles="1" createdVersion="5" indent="0" outline="1" outlineData="1" multipleFieldFilters="0" chartFormat="20">
  <location ref="H52:I6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DC47DF-29FD-4864-BCD4-3B82F5C4772A}" name="PivotTable2" cacheId="2" applyNumberFormats="0" applyBorderFormats="0" applyFontFormats="0" applyPatternFormats="0" applyAlignmentFormats="0" applyWidthHeightFormats="1" dataCaption="Values" tag="fb177515-fdb3-463d-b99b-36cbc725fab0"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40954D-592E-4133-82DE-0A088771670E}" name="PivotTable8" cacheId="7" applyNumberFormats="0" applyBorderFormats="0" applyFontFormats="0" applyPatternFormats="0" applyAlignmentFormats="0" applyWidthHeightFormats="1" dataCaption="Values" tag="f56c8367-b387-4ed5-9b75-f732b8870e8f" updatedVersion="8" minRefreshableVersion="3" subtotalHiddenItems="1" itemPrintTitles="1" createdVersion="5" indent="0" outline="1" outlineData="1" multipleFieldFilters="0" chartFormat="5">
  <location ref="H39:I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8">
      <pivotArea outline="0" collapsedLevelsAreSubtotals="1" fieldPosition="0"/>
    </format>
    <format dxfId="7">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431F15-61F3-43C6-B0C5-ADB4C92F623E}" name="PivotTable9" cacheId="8" applyNumberFormats="0" applyBorderFormats="0" applyFontFormats="0" applyPatternFormats="0" applyAlignmentFormats="0" applyWidthHeightFormats="1" dataCaption="Values" tag="f56c8367-b387-4ed5-9b75-f732b8870e8f" updatedVersion="8" minRefreshableVersion="3" subtotalHiddenItems="1" itemPrintTitles="1" createdVersion="5" indent="0" outline="1" outlineData="1" multipleFieldFilters="0" chartFormat="11">
  <location ref="L42:M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0">
      <pivotArea outline="0" collapsedLevelsAreSubtotals="1" fieldPosition="0"/>
    </format>
    <format dxfId="9">
      <pivotArea collapsedLevelsAreSubtotals="1" fieldPosition="0">
        <references count="1">
          <reference field="1" count="0"/>
        </references>
      </pivotArea>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C27CA5-F554-4C04-85E4-1EAE5BA09114}" name="PivotTable3" cacheId="0" applyNumberFormats="0" applyBorderFormats="0" applyFontFormats="0" applyPatternFormats="0" applyAlignmentFormats="0" applyWidthHeightFormats="1" dataCaption="Values" tag="61886a11-c316-4039-a42d-106524da38a4" updatedVersion="8" minRefreshableVersion="3" subtotalHiddenItems="1" itemPrintTitles="1" createdVersion="5" indent="0" outline="1" outlineData="1" multipleFieldFilters="0" chartFormat="36">
  <location ref="E4:F36" firstHeaderRow="1" firstDataRow="1" firstDataCol="1"/>
  <pivotFields count="4">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2">
    <chartFormat chart="3" format="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21FDCC-EBEA-49FD-86D6-6B7406596FFD}" name="PivotTable1" cacheId="1" applyNumberFormats="0" applyBorderFormats="0" applyFontFormats="0" applyPatternFormats="0" applyAlignmentFormats="0" applyWidthHeightFormats="1" dataCaption="Values" tag="61886a11-c316-4039-a42d-106524da38a4"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85EE6B-2ED0-4697-873E-FADA025A5456}" name="PivotTable6" cacheId="5" applyNumberFormats="0" applyBorderFormats="0" applyFontFormats="0" applyPatternFormats="0" applyAlignmentFormats="0" applyWidthHeightFormats="1" dataCaption="Values" tag="61886a11-c316-4039-a42d-106524da38a4" updatedVersion="8" minRefreshableVersion="3" subtotalHiddenItems="1" itemPrintTitles="1" createdVersion="5" indent="0" outline="1" outlineData="1" multipleFieldFilters="0" chartFormat="52">
  <location ref="Q5:R37" firstHeaderRow="1" firstDataRow="1" firstDataCol="1"/>
  <pivotFields count="4">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2">
      <pivotArea collapsedLevelsAreSubtotals="1" fieldPosition="0">
        <references count="1">
          <reference field="0" count="0"/>
        </references>
      </pivotArea>
    </format>
    <format dxfId="11">
      <pivotArea dataOnly="0" labelOnly="1" fieldPosition="0">
        <references count="1">
          <reference field="0" count="0"/>
        </references>
      </pivotArea>
    </format>
  </formats>
  <chartFormats count="2">
    <chartFormat chart="47" format="2"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E32A31-B1AC-4FAC-AD89-617F1FCEE5D5}" name="PivotTable10" cacheId="9" applyNumberFormats="0" applyBorderFormats="0" applyFontFormats="0" applyPatternFormats="0" applyAlignmentFormats="0" applyWidthHeightFormats="1" dataCaption="Values" tag="f56c8367-b387-4ed5-9b75-f732b8870e8f" updatedVersion="8" minRefreshableVersion="3" subtotalHiddenItems="1" itemPrintTitles="1" createdVersion="5" indent="0" outline="1" outlineData="1" multipleFieldFilters="0" chartFormat="16">
  <location ref="L48:M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4">
      <pivotArea outline="0" collapsedLevelsAreSubtotals="1" fieldPosition="0"/>
    </format>
    <format dxfId="13">
      <pivotArea collapsedLevelsAreSubtotals="1" fieldPosition="0">
        <references count="1">
          <reference field="1" count="0"/>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488D21-8CB1-4D7E-AB88-529FD3747F44}" name="PivotTable7" cacheId="6" applyNumberFormats="0" applyBorderFormats="0" applyFontFormats="0" applyPatternFormats="0" applyAlignmentFormats="0" applyWidthHeightFormats="1" dataCaption="Values" tag="f56c8367-b387-4ed5-9b75-f732b8870e8f" updatedVersion="8" minRefreshableVersion="3" subtotalHiddenItems="1"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8">
      <pivotArea outline="0" collapsedLevelsAreSubtotals="1" fieldPosition="0"/>
    </format>
    <format dxfId="17">
      <pivotArea collapsedLevelsAreSubtotals="1" fieldPosition="0">
        <references count="1">
          <reference field="1" count="0"/>
        </references>
      </pivotArea>
    </format>
    <format dxfId="16">
      <pivotArea outline="0" fieldPosition="0">
        <references count="1">
          <reference field="4294967294" count="1">
            <x v="1"/>
          </reference>
        </references>
      </pivotArea>
    </format>
    <format dxfId="15">
      <pivotArea collapsedLevelsAreSubtotals="1" fieldPosition="0">
        <references count="2">
          <reference field="4294967294" count="1" selected="0">
            <x v="1"/>
          </reference>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C6F2D84-94E5-412C-B892-80AE51D95DEF}" sourceName="[Calendar_table].[Date (Month)]">
  <pivotTables>
    <pivotTable tabId="1" name="PivotTable3"/>
    <pivotTable tabId="1" name="PivotTable1"/>
    <pivotTable tabId="1" name="PivotTable2"/>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9649990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69F1BCB-6649-41D0-8875-EAA4AF7EB2B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9649990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F5D8733-99CB-46CD-B7DD-899C4F517316}" cache="Slicer_Date__Month" caption="Date (Month)" showCaption="0" level="1" style="my style" rowHeight="288000"/>
  <slicer name="Date (Year)" xr10:uid="{BB0BF914-CE17-4B5B-AD65-E50BC68170BB}" cache="Slicer_Date__Year" caption="Date (Year)"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A57D-F8D7-421A-9787-993C1EDCBF23}">
  <dimension ref="A3:R61"/>
  <sheetViews>
    <sheetView tabSelected="1" workbookViewId="0">
      <selection activeCell="D16" sqref="D16"/>
    </sheetView>
  </sheetViews>
  <sheetFormatPr defaultRowHeight="14.4" x14ac:dyDescent="0.3"/>
  <cols>
    <col min="1" max="1" width="14.33203125" customWidth="1"/>
    <col min="2" max="2" width="7.6640625" customWidth="1"/>
    <col min="3" max="3" width="8.5546875" customWidth="1"/>
    <col min="4" max="4" width="15.44140625" customWidth="1"/>
    <col min="8" max="8" width="13.77734375" customWidth="1"/>
    <col min="9" max="9" width="24.6640625" customWidth="1"/>
    <col min="12" max="12" width="13.5546875" customWidth="1"/>
    <col min="13" max="13" width="26.6640625" customWidth="1"/>
  </cols>
  <sheetData>
    <row r="3" spans="1:18" x14ac:dyDescent="0.3">
      <c r="A3" t="s">
        <v>1</v>
      </c>
      <c r="E3" t="s">
        <v>39</v>
      </c>
    </row>
    <row r="4" spans="1:18" x14ac:dyDescent="0.3">
      <c r="A4" t="s">
        <v>0</v>
      </c>
      <c r="E4" s="3" t="s">
        <v>6</v>
      </c>
      <c r="F4" t="s">
        <v>0</v>
      </c>
      <c r="K4" t="s">
        <v>40</v>
      </c>
      <c r="Q4" t="s">
        <v>42</v>
      </c>
    </row>
    <row r="5" spans="1:18" x14ac:dyDescent="0.3">
      <c r="A5">
        <v>494</v>
      </c>
      <c r="E5" s="4" t="s">
        <v>7</v>
      </c>
      <c r="F5">
        <v>14</v>
      </c>
      <c r="K5" s="3" t="s">
        <v>6</v>
      </c>
      <c r="L5" t="s">
        <v>2</v>
      </c>
      <c r="Q5" s="3" t="s">
        <v>6</v>
      </c>
      <c r="R5" t="s">
        <v>3</v>
      </c>
    </row>
    <row r="6" spans="1:18" x14ac:dyDescent="0.3">
      <c r="E6" s="4" t="s">
        <v>8</v>
      </c>
      <c r="F6">
        <v>15</v>
      </c>
      <c r="K6" s="7" t="s">
        <v>7</v>
      </c>
      <c r="L6" s="1">
        <v>35.714285714285715</v>
      </c>
      <c r="Q6" s="7" t="s">
        <v>7</v>
      </c>
      <c r="R6" s="1">
        <v>8</v>
      </c>
    </row>
    <row r="7" spans="1:18" x14ac:dyDescent="0.3">
      <c r="E7" s="4" t="s">
        <v>9</v>
      </c>
      <c r="F7">
        <v>17</v>
      </c>
      <c r="K7" s="7" t="s">
        <v>8</v>
      </c>
      <c r="L7" s="1">
        <v>38.533333333333331</v>
      </c>
      <c r="Q7" s="7" t="s">
        <v>8</v>
      </c>
      <c r="R7" s="1">
        <v>4</v>
      </c>
    </row>
    <row r="8" spans="1:18" x14ac:dyDescent="0.3">
      <c r="A8" t="s">
        <v>2</v>
      </c>
      <c r="E8" s="4" t="s">
        <v>10</v>
      </c>
      <c r="F8">
        <v>12</v>
      </c>
      <c r="K8" s="7" t="s">
        <v>9</v>
      </c>
      <c r="L8" s="1">
        <v>38.941176470588232</v>
      </c>
      <c r="Q8" s="7" t="s">
        <v>9</v>
      </c>
      <c r="R8" s="1">
        <v>5.333333333333333</v>
      </c>
    </row>
    <row r="9" spans="1:18" x14ac:dyDescent="0.3">
      <c r="A9" s="1">
        <v>36.392712550607285</v>
      </c>
      <c r="E9" s="4" t="s">
        <v>11</v>
      </c>
      <c r="F9">
        <v>23</v>
      </c>
      <c r="K9" s="7" t="s">
        <v>10</v>
      </c>
      <c r="L9" s="1">
        <v>35.666666666666664</v>
      </c>
      <c r="Q9" s="7" t="s">
        <v>10</v>
      </c>
      <c r="R9" s="1">
        <v>4.666666666666667</v>
      </c>
    </row>
    <row r="10" spans="1:18" x14ac:dyDescent="0.3">
      <c r="E10" s="4" t="s">
        <v>12</v>
      </c>
      <c r="F10">
        <v>10</v>
      </c>
      <c r="K10" s="7" t="s">
        <v>11</v>
      </c>
      <c r="L10" s="1">
        <v>39.478260869565219</v>
      </c>
      <c r="Q10" s="7" t="s">
        <v>11</v>
      </c>
      <c r="R10" s="1">
        <v>6.2</v>
      </c>
    </row>
    <row r="11" spans="1:18" x14ac:dyDescent="0.3">
      <c r="E11" s="4" t="s">
        <v>13</v>
      </c>
      <c r="F11">
        <v>18</v>
      </c>
      <c r="K11" s="7" t="s">
        <v>12</v>
      </c>
      <c r="L11" s="1">
        <v>25.1</v>
      </c>
      <c r="Q11" s="7" t="s">
        <v>12</v>
      </c>
      <c r="R11" s="1">
        <v>6.333333333333333</v>
      </c>
    </row>
    <row r="12" spans="1:18" x14ac:dyDescent="0.3">
      <c r="A12" t="s">
        <v>3</v>
      </c>
      <c r="E12" s="4" t="s">
        <v>14</v>
      </c>
      <c r="F12">
        <v>11</v>
      </c>
      <c r="K12" s="7" t="s">
        <v>13</v>
      </c>
      <c r="L12" s="1">
        <v>43.666666666666664</v>
      </c>
      <c r="Q12" s="7" t="s">
        <v>13</v>
      </c>
      <c r="R12" s="1">
        <v>9.5</v>
      </c>
    </row>
    <row r="13" spans="1:18" x14ac:dyDescent="0.3">
      <c r="A13" s="1">
        <v>5.0629921259842519</v>
      </c>
      <c r="E13" s="4" t="s">
        <v>15</v>
      </c>
      <c r="F13">
        <v>12</v>
      </c>
      <c r="K13" s="7" t="s">
        <v>14</v>
      </c>
      <c r="L13" s="1">
        <v>38.090909090909093</v>
      </c>
      <c r="Q13" s="7" t="s">
        <v>14</v>
      </c>
      <c r="R13" s="1">
        <v>2</v>
      </c>
    </row>
    <row r="14" spans="1:18" x14ac:dyDescent="0.3">
      <c r="E14" s="4" t="s">
        <v>16</v>
      </c>
      <c r="F14">
        <v>24</v>
      </c>
      <c r="K14" s="7" t="s">
        <v>15</v>
      </c>
      <c r="L14" s="1">
        <v>28.25</v>
      </c>
      <c r="Q14" s="7" t="s">
        <v>15</v>
      </c>
      <c r="R14" s="1">
        <v>6.666666666666667</v>
      </c>
    </row>
    <row r="15" spans="1:18" x14ac:dyDescent="0.3">
      <c r="E15" s="4" t="s">
        <v>17</v>
      </c>
      <c r="F15">
        <v>16</v>
      </c>
      <c r="K15" s="7" t="s">
        <v>16</v>
      </c>
      <c r="L15" s="1">
        <v>36.291666666666664</v>
      </c>
      <c r="Q15" s="7" t="s">
        <v>16</v>
      </c>
      <c r="R15" s="1">
        <v>2.25</v>
      </c>
    </row>
    <row r="16" spans="1:18" x14ac:dyDescent="0.3">
      <c r="E16" s="4" t="s">
        <v>18</v>
      </c>
      <c r="F16">
        <v>21</v>
      </c>
      <c r="K16" s="7" t="s">
        <v>17</v>
      </c>
      <c r="L16" s="1">
        <v>31.875</v>
      </c>
      <c r="Q16" s="7" t="s">
        <v>17</v>
      </c>
      <c r="R16" s="1">
        <v>3</v>
      </c>
    </row>
    <row r="17" spans="5:18" x14ac:dyDescent="0.3">
      <c r="E17" s="4" t="s">
        <v>19</v>
      </c>
      <c r="F17">
        <v>16</v>
      </c>
      <c r="K17" s="7" t="s">
        <v>18</v>
      </c>
      <c r="L17" s="1">
        <v>32.333333333333336</v>
      </c>
      <c r="Q17" s="7" t="s">
        <v>18</v>
      </c>
      <c r="R17" s="1">
        <v>4.7142857142857144</v>
      </c>
    </row>
    <row r="18" spans="5:18" x14ac:dyDescent="0.3">
      <c r="E18" s="4" t="s">
        <v>20</v>
      </c>
      <c r="F18">
        <v>15</v>
      </c>
      <c r="K18" s="7" t="s">
        <v>19</v>
      </c>
      <c r="L18" s="1">
        <v>36.3125</v>
      </c>
      <c r="Q18" s="7" t="s">
        <v>19</v>
      </c>
      <c r="R18" s="1">
        <v>10</v>
      </c>
    </row>
    <row r="19" spans="5:18" x14ac:dyDescent="0.3">
      <c r="E19" s="4" t="s">
        <v>21</v>
      </c>
      <c r="F19">
        <v>14</v>
      </c>
      <c r="K19" s="7" t="s">
        <v>20</v>
      </c>
      <c r="L19" s="1">
        <v>41.133333333333333</v>
      </c>
      <c r="Q19" s="7" t="s">
        <v>20</v>
      </c>
      <c r="R19" s="1">
        <v>5.666666666666667</v>
      </c>
    </row>
    <row r="20" spans="5:18" x14ac:dyDescent="0.3">
      <c r="E20" s="4" t="s">
        <v>22</v>
      </c>
      <c r="F20">
        <v>18</v>
      </c>
      <c r="K20" s="7" t="s">
        <v>21</v>
      </c>
      <c r="L20" s="1">
        <v>32.071428571428569</v>
      </c>
      <c r="Q20" s="7" t="s">
        <v>21</v>
      </c>
      <c r="R20" s="1">
        <v>5</v>
      </c>
    </row>
    <row r="21" spans="5:18" x14ac:dyDescent="0.3">
      <c r="E21" s="4" t="s">
        <v>23</v>
      </c>
      <c r="F21">
        <v>12</v>
      </c>
      <c r="K21" s="7" t="s">
        <v>22</v>
      </c>
      <c r="L21" s="1">
        <v>34.222222222222221</v>
      </c>
      <c r="Q21" s="7" t="s">
        <v>22</v>
      </c>
      <c r="R21" s="1">
        <v>3</v>
      </c>
    </row>
    <row r="22" spans="5:18" x14ac:dyDescent="0.3">
      <c r="E22" s="4" t="s">
        <v>24</v>
      </c>
      <c r="F22">
        <v>18</v>
      </c>
      <c r="K22" s="7" t="s">
        <v>23</v>
      </c>
      <c r="L22" s="1">
        <v>43.666666666666664</v>
      </c>
      <c r="Q22" s="7" t="s">
        <v>23</v>
      </c>
      <c r="R22" s="1">
        <v>5.333333333333333</v>
      </c>
    </row>
    <row r="23" spans="5:18" x14ac:dyDescent="0.3">
      <c r="E23" s="4" t="s">
        <v>25</v>
      </c>
      <c r="F23">
        <v>16</v>
      </c>
      <c r="K23" s="7" t="s">
        <v>24</v>
      </c>
      <c r="L23" s="1">
        <v>38.5</v>
      </c>
      <c r="Q23" s="7" t="s">
        <v>24</v>
      </c>
      <c r="R23" s="1">
        <v>5.833333333333333</v>
      </c>
    </row>
    <row r="24" spans="5:18" x14ac:dyDescent="0.3">
      <c r="E24" s="4" t="s">
        <v>26</v>
      </c>
      <c r="F24">
        <v>22</v>
      </c>
      <c r="K24" s="7" t="s">
        <v>25</v>
      </c>
      <c r="L24" s="1">
        <v>32.6875</v>
      </c>
      <c r="Q24" s="7" t="s">
        <v>25</v>
      </c>
      <c r="R24" s="1">
        <v>5.8</v>
      </c>
    </row>
    <row r="25" spans="5:18" x14ac:dyDescent="0.3">
      <c r="E25" s="4" t="s">
        <v>27</v>
      </c>
      <c r="F25">
        <v>16</v>
      </c>
      <c r="K25" s="7" t="s">
        <v>26</v>
      </c>
      <c r="L25" s="1">
        <v>41.045454545454547</v>
      </c>
      <c r="Q25" s="7" t="s">
        <v>26</v>
      </c>
      <c r="R25" s="1">
        <v>5.2</v>
      </c>
    </row>
    <row r="26" spans="5:18" x14ac:dyDescent="0.3">
      <c r="E26" s="4" t="s">
        <v>28</v>
      </c>
      <c r="F26">
        <v>10</v>
      </c>
      <c r="K26" s="7" t="s">
        <v>27</v>
      </c>
      <c r="L26" s="1">
        <v>36.6875</v>
      </c>
      <c r="Q26" s="7" t="s">
        <v>27</v>
      </c>
      <c r="R26" s="1">
        <v>4.5</v>
      </c>
    </row>
    <row r="27" spans="5:18" x14ac:dyDescent="0.3">
      <c r="E27" s="4" t="s">
        <v>29</v>
      </c>
      <c r="F27">
        <v>18</v>
      </c>
      <c r="K27" s="7" t="s">
        <v>28</v>
      </c>
      <c r="L27" s="1">
        <v>38.5</v>
      </c>
      <c r="Q27" s="7" t="s">
        <v>28</v>
      </c>
      <c r="R27" s="1">
        <v>6</v>
      </c>
    </row>
    <row r="28" spans="5:18" x14ac:dyDescent="0.3">
      <c r="E28" s="4" t="s">
        <v>30</v>
      </c>
      <c r="F28">
        <v>13</v>
      </c>
      <c r="K28" s="7" t="s">
        <v>29</v>
      </c>
      <c r="L28" s="1">
        <v>33.777777777777779</v>
      </c>
      <c r="Q28" s="7" t="s">
        <v>29</v>
      </c>
      <c r="R28" s="1">
        <v>6.5</v>
      </c>
    </row>
    <row r="29" spans="5:18" x14ac:dyDescent="0.3">
      <c r="E29" s="4" t="s">
        <v>31</v>
      </c>
      <c r="F29">
        <v>20</v>
      </c>
      <c r="K29" s="7" t="s">
        <v>30</v>
      </c>
      <c r="L29" s="1">
        <v>41.692307692307693</v>
      </c>
      <c r="Q29" s="7" t="s">
        <v>30</v>
      </c>
      <c r="R29" s="1">
        <v>4.166666666666667</v>
      </c>
    </row>
    <row r="30" spans="5:18" x14ac:dyDescent="0.3">
      <c r="E30" s="4" t="s">
        <v>32</v>
      </c>
      <c r="F30">
        <v>17</v>
      </c>
      <c r="K30" s="7" t="s">
        <v>31</v>
      </c>
      <c r="L30" s="1">
        <v>31.7</v>
      </c>
      <c r="Q30" s="7" t="s">
        <v>31</v>
      </c>
      <c r="R30" s="1">
        <v>3.6666666666666665</v>
      </c>
    </row>
    <row r="31" spans="5:18" x14ac:dyDescent="0.3">
      <c r="E31" s="4" t="s">
        <v>33</v>
      </c>
      <c r="F31">
        <v>19</v>
      </c>
      <c r="K31" s="7" t="s">
        <v>32</v>
      </c>
      <c r="L31" s="1">
        <v>36.470588235294116</v>
      </c>
      <c r="Q31" s="7" t="s">
        <v>32</v>
      </c>
      <c r="R31" s="1">
        <v>3.5</v>
      </c>
    </row>
    <row r="32" spans="5:18" x14ac:dyDescent="0.3">
      <c r="E32" s="4" t="s">
        <v>34</v>
      </c>
      <c r="F32">
        <v>17</v>
      </c>
      <c r="K32" s="7" t="s">
        <v>33</v>
      </c>
      <c r="L32" s="1">
        <v>37.210526315789473</v>
      </c>
      <c r="Q32" s="7" t="s">
        <v>33</v>
      </c>
      <c r="R32" s="1">
        <v>6</v>
      </c>
    </row>
    <row r="33" spans="1:18" x14ac:dyDescent="0.3">
      <c r="E33" s="4" t="s">
        <v>35</v>
      </c>
      <c r="F33">
        <v>22</v>
      </c>
      <c r="K33" s="7" t="s">
        <v>34</v>
      </c>
      <c r="L33" s="1">
        <v>36.294117647058826</v>
      </c>
      <c r="Q33" s="7" t="s">
        <v>34</v>
      </c>
      <c r="R33" s="1">
        <v>5.1428571428571432</v>
      </c>
    </row>
    <row r="34" spans="1:18" x14ac:dyDescent="0.3">
      <c r="E34" s="4" t="s">
        <v>36</v>
      </c>
      <c r="F34">
        <v>9</v>
      </c>
      <c r="K34" s="7" t="s">
        <v>35</v>
      </c>
      <c r="L34" s="1">
        <v>32</v>
      </c>
      <c r="Q34" s="7" t="s">
        <v>35</v>
      </c>
      <c r="R34" s="1">
        <v>4</v>
      </c>
    </row>
    <row r="35" spans="1:18" x14ac:dyDescent="0.3">
      <c r="E35" s="4" t="s">
        <v>37</v>
      </c>
      <c r="F35">
        <v>9</v>
      </c>
      <c r="K35" s="7" t="s">
        <v>36</v>
      </c>
      <c r="L35" s="1">
        <v>41.444444444444443</v>
      </c>
      <c r="Q35" s="7" t="s">
        <v>36</v>
      </c>
      <c r="R35" s="1">
        <v>3.5</v>
      </c>
    </row>
    <row r="36" spans="1:18" x14ac:dyDescent="0.3">
      <c r="E36" s="4" t="s">
        <v>5</v>
      </c>
      <c r="F36">
        <v>494</v>
      </c>
      <c r="K36" s="7" t="s">
        <v>37</v>
      </c>
      <c r="L36" s="1">
        <v>40.444444444444443</v>
      </c>
      <c r="Q36" s="7" t="s">
        <v>37</v>
      </c>
      <c r="R36" s="1">
        <v>5</v>
      </c>
    </row>
    <row r="37" spans="1:18" x14ac:dyDescent="0.3">
      <c r="K37" s="4" t="s">
        <v>5</v>
      </c>
      <c r="L37">
        <v>36.392712550607285</v>
      </c>
      <c r="Q37" s="4" t="s">
        <v>5</v>
      </c>
      <c r="R37">
        <v>5.0629921259842519</v>
      </c>
    </row>
    <row r="38" spans="1:18" x14ac:dyDescent="0.3">
      <c r="A38" s="3" t="s">
        <v>6</v>
      </c>
      <c r="B38" t="s">
        <v>46</v>
      </c>
      <c r="C38" t="s">
        <v>47</v>
      </c>
      <c r="H38" t="s">
        <v>61</v>
      </c>
    </row>
    <row r="39" spans="1:18" x14ac:dyDescent="0.3">
      <c r="A39" s="4" t="s">
        <v>44</v>
      </c>
      <c r="B39" s="9">
        <v>234</v>
      </c>
      <c r="C39" s="11">
        <v>0.47368421052631576</v>
      </c>
      <c r="H39" s="3" t="s">
        <v>6</v>
      </c>
      <c r="I39" t="s">
        <v>60</v>
      </c>
    </row>
    <row r="40" spans="1:18" x14ac:dyDescent="0.3">
      <c r="A40" s="4" t="s">
        <v>45</v>
      </c>
      <c r="B40" s="9">
        <v>260</v>
      </c>
      <c r="C40" s="11">
        <v>0.52631578947368418</v>
      </c>
      <c r="H40" s="4" t="s">
        <v>52</v>
      </c>
      <c r="I40" s="9">
        <v>70</v>
      </c>
    </row>
    <row r="41" spans="1:18" x14ac:dyDescent="0.3">
      <c r="A41" s="4" t="s">
        <v>5</v>
      </c>
      <c r="B41" s="1">
        <v>494</v>
      </c>
      <c r="C41" s="10">
        <v>1</v>
      </c>
      <c r="H41" s="4" t="s">
        <v>53</v>
      </c>
      <c r="I41" s="9">
        <v>73</v>
      </c>
      <c r="L41" t="s">
        <v>68</v>
      </c>
    </row>
    <row r="42" spans="1:18" x14ac:dyDescent="0.3">
      <c r="H42" s="4" t="s">
        <v>54</v>
      </c>
      <c r="I42" s="9">
        <v>58</v>
      </c>
      <c r="L42" s="3" t="s">
        <v>6</v>
      </c>
      <c r="M42" t="s">
        <v>64</v>
      </c>
    </row>
    <row r="43" spans="1:18" x14ac:dyDescent="0.3">
      <c r="A43" s="12" t="s">
        <v>48</v>
      </c>
      <c r="B43" s="13" t="s">
        <v>51</v>
      </c>
      <c r="C43" s="13" t="s">
        <v>49</v>
      </c>
      <c r="D43" s="13" t="s">
        <v>50</v>
      </c>
      <c r="H43" s="4" t="s">
        <v>55</v>
      </c>
      <c r="I43" s="9">
        <v>73</v>
      </c>
      <c r="L43" s="4" t="s">
        <v>62</v>
      </c>
      <c r="M43" s="9">
        <v>307</v>
      </c>
    </row>
    <row r="44" spans="1:18" x14ac:dyDescent="0.3">
      <c r="A44" t="str">
        <f t="shared" ref="A44:C45" si="0">A39</f>
        <v>Admitted</v>
      </c>
      <c r="B44" s="9">
        <f t="shared" si="0"/>
        <v>234</v>
      </c>
      <c r="C44" s="11">
        <f t="shared" si="0"/>
        <v>0.47368421052631576</v>
      </c>
      <c r="H44" s="4" t="s">
        <v>56</v>
      </c>
      <c r="I44" s="9">
        <v>55</v>
      </c>
      <c r="L44" s="4" t="s">
        <v>63</v>
      </c>
      <c r="M44" s="9">
        <v>187</v>
      </c>
    </row>
    <row r="45" spans="1:18" x14ac:dyDescent="0.3">
      <c r="A45" t="str">
        <f t="shared" si="0"/>
        <v>Not Admitted</v>
      </c>
      <c r="B45" s="9">
        <f t="shared" si="0"/>
        <v>260</v>
      </c>
      <c r="C45" s="11">
        <f t="shared" si="0"/>
        <v>0.52631578947368418</v>
      </c>
      <c r="H45" s="4" t="s">
        <v>57</v>
      </c>
      <c r="I45" s="9">
        <v>51</v>
      </c>
      <c r="L45" s="4" t="s">
        <v>5</v>
      </c>
      <c r="M45" s="1">
        <v>494</v>
      </c>
    </row>
    <row r="46" spans="1:18" x14ac:dyDescent="0.3">
      <c r="H46" s="4" t="s">
        <v>58</v>
      </c>
      <c r="I46" s="9">
        <v>67</v>
      </c>
    </row>
    <row r="47" spans="1:18" x14ac:dyDescent="0.3">
      <c r="H47" s="4" t="s">
        <v>59</v>
      </c>
      <c r="I47" s="9">
        <v>47</v>
      </c>
      <c r="L47" s="4" t="s">
        <v>69</v>
      </c>
    </row>
    <row r="48" spans="1:18" x14ac:dyDescent="0.3">
      <c r="H48" s="4" t="s">
        <v>5</v>
      </c>
      <c r="I48" s="1">
        <v>494</v>
      </c>
      <c r="L48" s="3" t="s">
        <v>6</v>
      </c>
      <c r="M48" t="s">
        <v>67</v>
      </c>
    </row>
    <row r="49" spans="8:13" x14ac:dyDescent="0.3">
      <c r="L49" s="4" t="s">
        <v>65</v>
      </c>
      <c r="M49" s="9">
        <v>241</v>
      </c>
    </row>
    <row r="50" spans="8:13" x14ac:dyDescent="0.3">
      <c r="L50" s="4" t="s">
        <v>66</v>
      </c>
      <c r="M50" s="9">
        <v>253</v>
      </c>
    </row>
    <row r="51" spans="8:13" x14ac:dyDescent="0.3">
      <c r="H51" s="4" t="s">
        <v>70</v>
      </c>
      <c r="L51" s="4" t="s">
        <v>5</v>
      </c>
      <c r="M51" s="1">
        <v>494</v>
      </c>
    </row>
    <row r="52" spans="8:13" x14ac:dyDescent="0.3">
      <c r="H52" s="3" t="s">
        <v>6</v>
      </c>
      <c r="I52" t="s">
        <v>79</v>
      </c>
    </row>
    <row r="53" spans="8:13" x14ac:dyDescent="0.3">
      <c r="H53" s="4" t="s">
        <v>78</v>
      </c>
      <c r="I53" s="9">
        <v>6</v>
      </c>
      <c r="L53" s="4" t="s">
        <v>80</v>
      </c>
    </row>
    <row r="54" spans="8:13" x14ac:dyDescent="0.3">
      <c r="H54" s="4" t="s">
        <v>74</v>
      </c>
      <c r="I54" s="9">
        <v>8</v>
      </c>
      <c r="L54" s="3" t="s">
        <v>6</v>
      </c>
    </row>
    <row r="55" spans="8:13" x14ac:dyDescent="0.3">
      <c r="H55" s="4" t="s">
        <v>72</v>
      </c>
      <c r="I55" s="9">
        <v>8</v>
      </c>
      <c r="L55" s="4" t="s">
        <v>81</v>
      </c>
    </row>
    <row r="56" spans="8:13" x14ac:dyDescent="0.3">
      <c r="H56" s="4" t="s">
        <v>77</v>
      </c>
      <c r="I56" s="9">
        <v>11</v>
      </c>
      <c r="L56" s="14" t="s">
        <v>82</v>
      </c>
    </row>
    <row r="57" spans="8:13" x14ac:dyDescent="0.3">
      <c r="H57" s="4" t="s">
        <v>71</v>
      </c>
      <c r="I57" s="9">
        <v>17</v>
      </c>
      <c r="L57" s="15" t="s">
        <v>83</v>
      </c>
    </row>
    <row r="58" spans="8:13" x14ac:dyDescent="0.3">
      <c r="H58" s="4" t="s">
        <v>76</v>
      </c>
      <c r="I58" s="9">
        <v>49</v>
      </c>
      <c r="L58" s="4" t="s">
        <v>5</v>
      </c>
    </row>
    <row r="59" spans="8:13" x14ac:dyDescent="0.3">
      <c r="H59" s="4" t="s">
        <v>73</v>
      </c>
      <c r="I59" s="9">
        <v>92</v>
      </c>
    </row>
    <row r="60" spans="8:13" x14ac:dyDescent="0.3">
      <c r="H60" s="4" t="s">
        <v>75</v>
      </c>
      <c r="I60" s="9">
        <v>303</v>
      </c>
    </row>
    <row r="61" spans="8:13" x14ac:dyDescent="0.3">
      <c r="H61" s="4" t="s">
        <v>5</v>
      </c>
      <c r="I61" s="1">
        <v>494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6EB4C-E0DE-4A28-A46D-3FF89C2B66A3}">
  <dimension ref="M17"/>
  <sheetViews>
    <sheetView zoomScaleNormal="100" workbookViewId="0">
      <selection activeCell="V16" sqref="V16"/>
    </sheetView>
  </sheetViews>
  <sheetFormatPr defaultRowHeight="14.4" x14ac:dyDescent="0.3"/>
  <cols>
    <col min="1" max="16384" width="8.88671875" style="2"/>
  </cols>
  <sheetData>
    <row r="17" spans="13:13" x14ac:dyDescent="0.3">
      <c r="M17" s="2" t="s">
        <v>4</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5AC12-BC50-4821-BD12-769FA06B539A}">
  <dimension ref="A1:X27"/>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ht="15.6" x14ac:dyDescent="0.3">
      <c r="A24" s="5"/>
      <c r="B24" s="5"/>
      <c r="C24" s="5"/>
      <c r="D24" s="5"/>
      <c r="E24" s="5"/>
      <c r="F24" s="5"/>
      <c r="G24" s="5"/>
      <c r="H24" s="8" t="s">
        <v>43</v>
      </c>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2065-EEE6-4E5C-9540-3377EA540EB0}">
  <dimension ref="A1:X28"/>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ht="15.6" x14ac:dyDescent="0.3">
      <c r="A25" s="5"/>
      <c r="B25" s="5"/>
      <c r="C25" s="5"/>
      <c r="D25" s="5"/>
      <c r="E25" s="5"/>
      <c r="F25" s="5"/>
      <c r="G25" s="5"/>
      <c r="H25" s="8" t="s">
        <v>41</v>
      </c>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8D8DE-485D-48A6-9C6F-A540E367D05A}">
  <dimension ref="A1:X27"/>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ht="18" x14ac:dyDescent="0.35">
      <c r="A25" s="5"/>
      <c r="B25" s="5"/>
      <c r="C25" s="6" t="s">
        <v>38</v>
      </c>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53B090A-0E11-451D-9D11-620A23A66739}">
  <ds:schemaRefs/>
</ds:datastoreItem>
</file>

<file path=customXml/itemProps2.xml><?xml version="1.0" encoding="utf-8"?>
<ds:datastoreItem xmlns:ds="http://schemas.openxmlformats.org/officeDocument/2006/customXml" ds:itemID="{8F595FB2-2FA3-4116-AE0D-BC41FC119557}">
  <ds:schemaRefs/>
</ds:datastoreItem>
</file>

<file path=customXml/itemProps3.xml><?xml version="1.0" encoding="utf-8"?>
<ds:datastoreItem xmlns:ds="http://schemas.openxmlformats.org/officeDocument/2006/customXml" ds:itemID="{04423677-2FAD-40E9-8197-5CB42C1B5C14}">
  <ds:schemaRefs/>
</ds:datastoreItem>
</file>

<file path=customXml/itemProps4.xml><?xml version="1.0" encoding="utf-8"?>
<ds:datastoreItem xmlns:ds="http://schemas.openxmlformats.org/officeDocument/2006/customXml" ds:itemID="{22BEE9DE-1EF3-4FA3-BD33-9A8819B32FCC}">
  <ds:schemaRefs/>
</ds:datastoreItem>
</file>

<file path=customXml/itemProps5.xml><?xml version="1.0" encoding="utf-8"?>
<ds:datastoreItem xmlns:ds="http://schemas.openxmlformats.org/officeDocument/2006/customXml" ds:itemID="{4D4F2D6C-CDA6-4D0B-BE97-56018D6DA1BF}">
  <ds:schemaRefs/>
</ds:datastoreItem>
</file>

<file path=customXml/itemProps6.xml><?xml version="1.0" encoding="utf-8"?>
<ds:datastoreItem xmlns:ds="http://schemas.openxmlformats.org/officeDocument/2006/customXml" ds:itemID="{59C6F2C6-3B7D-4A85-A846-2B82037E5922}">
  <ds:schemaRefs/>
</ds:datastoreItem>
</file>

<file path=customXml/itemProps7.xml><?xml version="1.0" encoding="utf-8"?>
<ds:datastoreItem xmlns:ds="http://schemas.openxmlformats.org/officeDocument/2006/customXml" ds:itemID="{CDB069DE-94F3-4077-8BB2-F74271A34582}">
  <ds:schemaRefs/>
</ds:datastoreItem>
</file>

<file path=customXml/itemProps8.xml><?xml version="1.0" encoding="utf-8"?>
<ds:datastoreItem xmlns:ds="http://schemas.openxmlformats.org/officeDocument/2006/customXml" ds:itemID="{81F7627D-77C3-45C9-8032-DE7DBEDADA32}">
  <ds:schemaRefs/>
</ds:datastoreItem>
</file>

<file path=customXml/itemProps9.xml><?xml version="1.0" encoding="utf-8"?>
<ds:datastoreItem xmlns:ds="http://schemas.openxmlformats.org/officeDocument/2006/customXml" ds:itemID="{6A9F9145-BDCB-45F3-9E5E-540D3E4EF625}">
  <ds:schemaRefs/>
</ds:datastoreItem>
</file>

<file path=customXml/itemProps10.xml><?xml version="1.0" encoding="utf-8"?>
<ds:datastoreItem xmlns:ds="http://schemas.openxmlformats.org/officeDocument/2006/customXml" ds:itemID="{75A5CF25-4A06-4CAF-9933-2DDFFA5897ED}">
  <ds:schemaRefs/>
</ds:datastoreItem>
</file>

<file path=customXml/itemProps11.xml><?xml version="1.0" encoding="utf-8"?>
<ds:datastoreItem xmlns:ds="http://schemas.openxmlformats.org/officeDocument/2006/customXml" ds:itemID="{4182F89B-C781-4BFA-88EE-8599D2B98FA0}">
  <ds:schemaRefs/>
</ds:datastoreItem>
</file>

<file path=customXml/itemProps12.xml><?xml version="1.0" encoding="utf-8"?>
<ds:datastoreItem xmlns:ds="http://schemas.openxmlformats.org/officeDocument/2006/customXml" ds:itemID="{6A964B63-7DBB-4A88-B902-EBDACDB0E718}">
  <ds:schemaRefs/>
</ds:datastoreItem>
</file>

<file path=customXml/itemProps13.xml><?xml version="1.0" encoding="utf-8"?>
<ds:datastoreItem xmlns:ds="http://schemas.openxmlformats.org/officeDocument/2006/customXml" ds:itemID="{551F056B-9972-4B76-B1CB-E916E44B6388}">
  <ds:schemaRefs/>
</ds:datastoreItem>
</file>

<file path=customXml/itemProps14.xml><?xml version="1.0" encoding="utf-8"?>
<ds:datastoreItem xmlns:ds="http://schemas.openxmlformats.org/officeDocument/2006/customXml" ds:itemID="{0F287214-37C1-4ADE-AA8F-0921FBAC08FF}">
  <ds:schemaRefs>
    <ds:schemaRef ds:uri="http://schemas.microsoft.com/DataMashup"/>
  </ds:schemaRefs>
</ds:datastoreItem>
</file>

<file path=customXml/itemProps15.xml><?xml version="1.0" encoding="utf-8"?>
<ds:datastoreItem xmlns:ds="http://schemas.openxmlformats.org/officeDocument/2006/customXml" ds:itemID="{55695BBC-8B56-48EA-B230-8E1154DB46F8}">
  <ds:schemaRefs/>
</ds:datastoreItem>
</file>

<file path=customXml/itemProps16.xml><?xml version="1.0" encoding="utf-8"?>
<ds:datastoreItem xmlns:ds="http://schemas.openxmlformats.org/officeDocument/2006/customXml" ds:itemID="{8AB69A2F-EF86-4EE8-9069-17D54EE2F4E8}">
  <ds:schemaRefs/>
</ds:datastoreItem>
</file>

<file path=customXml/itemProps17.xml><?xml version="1.0" encoding="utf-8"?>
<ds:datastoreItem xmlns:ds="http://schemas.openxmlformats.org/officeDocument/2006/customXml" ds:itemID="{4E867760-D7FD-42FE-B7B1-6CEFA4088E17}">
  <ds:schemaRefs/>
</ds:datastoreItem>
</file>

<file path=customXml/itemProps18.xml><?xml version="1.0" encoding="utf-8"?>
<ds:datastoreItem xmlns:ds="http://schemas.openxmlformats.org/officeDocument/2006/customXml" ds:itemID="{F3E656B9-E0CF-4560-B3EC-9485765EA993}">
  <ds:schemaRefs/>
</ds:datastoreItem>
</file>

<file path=customXml/itemProps19.xml><?xml version="1.0" encoding="utf-8"?>
<ds:datastoreItem xmlns:ds="http://schemas.openxmlformats.org/officeDocument/2006/customXml" ds:itemID="{F2B05DA6-1724-43DC-A5B4-5E3ED56E46E8}">
  <ds:schemaRefs/>
</ds:datastoreItem>
</file>

<file path=customXml/itemProps20.xml><?xml version="1.0" encoding="utf-8"?>
<ds:datastoreItem xmlns:ds="http://schemas.openxmlformats.org/officeDocument/2006/customXml" ds:itemID="{FD7EFD37-14C3-45E2-8AF5-67E4A2BC2D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Sheet3</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subham singh</dc:creator>
  <cp:lastModifiedBy>subham singh</cp:lastModifiedBy>
  <dcterms:created xsi:type="dcterms:W3CDTF">2026-04-14T11:52:42Z</dcterms:created>
  <dcterms:modified xsi:type="dcterms:W3CDTF">2026-04-20T18:16:07Z</dcterms:modified>
</cp:coreProperties>
</file>